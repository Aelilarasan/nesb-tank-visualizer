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eting3\Downloads\"/>
    </mc:Choice>
  </mc:AlternateContent>
  <xr:revisionPtr revIDLastSave="0" documentId="13_ncr:1_{CA7C417D-2B5F-485F-8712-8E165261B699}" xr6:coauthVersionLast="47" xr6:coauthVersionMax="47" xr10:uidLastSave="{00000000-0000-0000-0000-000000000000}"/>
  <bookViews>
    <workbookView xWindow="14400" yWindow="0" windowWidth="14400" windowHeight="15600" xr2:uid="{00000000-000D-0000-FFFF-FFFF00000000}"/>
  </bookViews>
  <sheets>
    <sheet name="25.09.2026 _NOW ONGOING" sheetId="1" r:id="rId1"/>
  </sheets>
  <definedNames>
    <definedName name="_xlnm._FilterDatabase" localSheetId="0" hidden="1">'25.09.2026 _NOW ONGOING'!$B$6:$J$71</definedName>
  </definedNames>
  <calcPr calcId="181029"/>
</workbook>
</file>

<file path=xl/calcChain.xml><?xml version="1.0" encoding="utf-8"?>
<calcChain xmlns="http://schemas.openxmlformats.org/spreadsheetml/2006/main">
  <c r="I70" i="1" l="1"/>
  <c r="H70" i="1"/>
  <c r="I69" i="1"/>
  <c r="H69" i="1"/>
  <c r="I68" i="1"/>
  <c r="H68" i="1"/>
  <c r="I67" i="1"/>
  <c r="H67" i="1"/>
  <c r="I66" i="1"/>
  <c r="H66" i="1"/>
  <c r="I65" i="1"/>
  <c r="H65" i="1"/>
  <c r="I64" i="1"/>
  <c r="H64" i="1"/>
  <c r="I63" i="1"/>
  <c r="H63" i="1"/>
  <c r="I62" i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50" i="1"/>
  <c r="H50" i="1"/>
  <c r="I49" i="1"/>
  <c r="H49" i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F71" i="1"/>
  <c r="E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71" i="1" s="1"/>
</calcChain>
</file>

<file path=xl/sharedStrings.xml><?xml version="1.0" encoding="utf-8"?>
<sst xmlns="http://schemas.openxmlformats.org/spreadsheetml/2006/main" count="173" uniqueCount="138">
  <si>
    <t>NESB TANK STOCK</t>
  </si>
  <si>
    <t>DATE :25.09.2026 @2PM</t>
  </si>
  <si>
    <t>TANK NO.</t>
  </si>
  <si>
    <t>CARGO</t>
  </si>
  <si>
    <t>SUPPLIER</t>
  </si>
  <si>
    <t>TONNAGE</t>
  </si>
  <si>
    <t>TANK CAPACITY</t>
  </si>
  <si>
    <t>BALANCE</t>
  </si>
  <si>
    <t>NE 1</t>
  </si>
  <si>
    <t>SOAP STOCK ACID OIL</t>
  </si>
  <si>
    <t>SSAO/001,002,003</t>
  </si>
  <si>
    <t>NE 2</t>
  </si>
  <si>
    <t>*NEED CLEAN EX SLB</t>
  </si>
  <si>
    <t>NE 3</t>
  </si>
  <si>
    <t>SOAP STOCK</t>
  </si>
  <si>
    <t>*NE PRODUCTION PROGRESS</t>
  </si>
  <si>
    <t>NE 6</t>
  </si>
  <si>
    <t>LO1025</t>
  </si>
  <si>
    <t>BLEND</t>
  </si>
  <si>
    <t>NE 7</t>
  </si>
  <si>
    <t>LO-LB50</t>
  </si>
  <si>
    <t>NE 8 (SUM 2)</t>
  </si>
  <si>
    <t>PREPARE DRAIN WATER/OIL</t>
  </si>
  <si>
    <t>NE 11 (SUM 3)</t>
  </si>
  <si>
    <t>NE 14</t>
  </si>
  <si>
    <t>MFA</t>
  </si>
  <si>
    <t>JUKSAN (BOTTOM OIL) *NEED TRANSFER IBC</t>
  </si>
  <si>
    <t xml:space="preserve"> </t>
  </si>
  <si>
    <t>NE 15</t>
  </si>
  <si>
    <t>SSAO/003</t>
  </si>
  <si>
    <t>NE 16</t>
  </si>
  <si>
    <t>RESIDUE OIL</t>
  </si>
  <si>
    <t>BUNGE LIPID</t>
  </si>
  <si>
    <t>NE 21</t>
  </si>
  <si>
    <t>EFB OIL</t>
  </si>
  <si>
    <t xml:space="preserve">HOOD (MARAN) </t>
  </si>
  <si>
    <t>NE 21A</t>
  </si>
  <si>
    <t>UCO BLEND</t>
  </si>
  <si>
    <t>NE 22</t>
  </si>
  <si>
    <t>NE 23</t>
  </si>
  <si>
    <t>NE 24</t>
  </si>
  <si>
    <t>BIOVISION EFB/168</t>
  </si>
  <si>
    <t>NE 25</t>
  </si>
  <si>
    <t>HOOD (MARAN/PERAK)</t>
  </si>
  <si>
    <t>NE 26</t>
  </si>
  <si>
    <t>SLB</t>
  </si>
  <si>
    <t xml:space="preserve">RICH OIL </t>
  </si>
  <si>
    <t>NE 27</t>
  </si>
  <si>
    <t xml:space="preserve">CRUDE GLYCERINE </t>
  </si>
  <si>
    <t>CGLY/001/26-BLD</t>
  </si>
  <si>
    <t>NE 28</t>
  </si>
  <si>
    <t>HOOD (MARAN) EFB/158</t>
  </si>
  <si>
    <t>NE 29</t>
  </si>
  <si>
    <t>NE 30</t>
  </si>
  <si>
    <t>HOOD (PERAK)/(MARAN)</t>
  </si>
  <si>
    <t>NE 32</t>
  </si>
  <si>
    <t>UNDER REPAIR</t>
  </si>
  <si>
    <t>NE 34</t>
  </si>
  <si>
    <t>SLB HIGH MOISTURE</t>
  </si>
  <si>
    <t>SLB/097, SLB/113 @ MAO/003</t>
  </si>
  <si>
    <t>NE 35</t>
  </si>
  <si>
    <t>IFWO (WATER)</t>
  </si>
  <si>
    <t>NE 36</t>
  </si>
  <si>
    <t>*NE PRODUCTION INPROGRESS</t>
  </si>
  <si>
    <t>NE 37</t>
  </si>
  <si>
    <t>SLY</t>
  </si>
  <si>
    <t xml:space="preserve">YOGESWARI SLY/048, 049, 050. </t>
  </si>
  <si>
    <t>NE 38</t>
  </si>
  <si>
    <t>MAO</t>
  </si>
  <si>
    <t xml:space="preserve">PT UNIVERSAL MAO/011 </t>
  </si>
  <si>
    <t>NE 39</t>
  </si>
  <si>
    <t xml:space="preserve">TANK USED DRAIN/DIRT </t>
  </si>
  <si>
    <t>NE 40</t>
  </si>
  <si>
    <t>YOGESWARI SLY/044, 036</t>
  </si>
  <si>
    <t>NE 41</t>
  </si>
  <si>
    <t>YOGESWARI</t>
  </si>
  <si>
    <t>NE 42</t>
  </si>
  <si>
    <t>YOGESWARI SLY/151</t>
  </si>
  <si>
    <t>NE 47</t>
  </si>
  <si>
    <t>NE 48</t>
  </si>
  <si>
    <t>NE 49</t>
  </si>
  <si>
    <t>PKAO</t>
  </si>
  <si>
    <t>YOGESWARI PKAO/016</t>
  </si>
  <si>
    <t>NE50</t>
  </si>
  <si>
    <t>BIOVISION EFB/146</t>
  </si>
  <si>
    <t>NE 51</t>
  </si>
  <si>
    <t>BIOVISION EFB/152,156</t>
  </si>
  <si>
    <t>NE 52</t>
  </si>
  <si>
    <t>SRI MAJU MANAGEMENT</t>
  </si>
  <si>
    <t>NE 53</t>
  </si>
  <si>
    <t>PITCH OIL</t>
  </si>
  <si>
    <t>PALM OLEO (KLANG)</t>
  </si>
  <si>
    <t>NE 54</t>
  </si>
  <si>
    <t>HOOD BUMI (PERAK/MARAN) EFB/165,155</t>
  </si>
  <si>
    <t>NE 55</t>
  </si>
  <si>
    <t>HOOD BUMI (PERAK) EFB 151/153/164</t>
  </si>
  <si>
    <t>NE 56</t>
  </si>
  <si>
    <t>NE 57</t>
  </si>
  <si>
    <t>EFB BLEND OIL</t>
  </si>
  <si>
    <t>*FOR NESTE/BALANCE*</t>
  </si>
  <si>
    <t>NE 58</t>
  </si>
  <si>
    <t>*CLEAN EX SLY</t>
  </si>
  <si>
    <t>NE 59</t>
  </si>
  <si>
    <t>SBEO</t>
  </si>
  <si>
    <t>ECOOILS PGU</t>
  </si>
  <si>
    <t>NE 60</t>
  </si>
  <si>
    <t>HOOD (PERAK)</t>
  </si>
  <si>
    <t>NE61</t>
  </si>
  <si>
    <t>HOOD (PERAK/MARAN)</t>
  </si>
  <si>
    <t>NE62</t>
  </si>
  <si>
    <t>SLB BLEND</t>
  </si>
  <si>
    <t>*SLB BLEND INPROGRESS/7MTS/ECO PGU</t>
  </si>
  <si>
    <t>NE63</t>
  </si>
  <si>
    <t>OLCP06</t>
  </si>
  <si>
    <t>CARGILL P.P *TODAY NEED BLEND 25/09 EMEROL 100</t>
  </si>
  <si>
    <t>NE64</t>
  </si>
  <si>
    <t>*CLEAN EX CCCO</t>
  </si>
  <si>
    <t>NE65</t>
  </si>
  <si>
    <t>WILL FULLY UPDATE INFO BY THIS WEEK (NE65-NE78)</t>
  </si>
  <si>
    <t>NE66</t>
  </si>
  <si>
    <t>BIOVISION EFB/170</t>
  </si>
  <si>
    <t>NE67</t>
  </si>
  <si>
    <t>NE68</t>
  </si>
  <si>
    <t>NE69</t>
  </si>
  <si>
    <t>NE70</t>
  </si>
  <si>
    <t>NE71</t>
  </si>
  <si>
    <t>NE72</t>
  </si>
  <si>
    <t>NE73</t>
  </si>
  <si>
    <t>NE74</t>
  </si>
  <si>
    <t>NE75</t>
  </si>
  <si>
    <t>NE76</t>
  </si>
  <si>
    <t>NE77</t>
  </si>
  <si>
    <t>PT UNIVERSAL MAO/013 *INPROGRESS UNLOAD 25/09-flexi</t>
  </si>
  <si>
    <t>NE78</t>
  </si>
  <si>
    <t>SOAP PLANT TANK 4</t>
  </si>
  <si>
    <t>MITSUI MAO/012</t>
  </si>
  <si>
    <t>Liquid Fill %</t>
  </si>
  <si>
    <t>Empty Space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</si>
</sst>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0_-;\-* #,##0.000_-;_-* &quot;-&quot;??_-;_-@"/>
    <numFmt numFmtId="165" formatCode="_(* #,##0.00_);_(* \(#,##0.00\);_(* &quot;-&quot;??_);_(@_)"/>
    <numFmt numFmtId="166" formatCode="_(* #,##0.000_);_(* \(#,##0.000\);_(* &quot;-&quot;??_);_(@_)"/>
    <numFmt numFmtId="167" formatCode="0.000"/>
    <numFmt numFmtId="168" formatCode="_-* #,##0.00_-;\-* #,##0.00_-;_-* &quot;-&quot;??_-;_-@"/>
    <numFmt numFmtId="169" formatCode="0.0%"/>
  </numFmts>
  <fonts count="21">
    <font>
      <sz val="11"/>
      <color theme="1"/>
      <name val="Calibri"/>
      <scheme val="minor"/>
    </font>
    <font>
      <sz val="11"/>
      <color theme="1"/>
      <name val="Tahoma"/>
    </font>
    <font>
      <sz val="11"/>
      <color theme="1"/>
      <name val="Calibri"/>
    </font>
    <font>
      <b/>
      <sz val="11"/>
      <color theme="1"/>
      <name val="Calibri"/>
    </font>
    <font>
      <b/>
      <u/>
      <sz val="18"/>
      <color theme="1"/>
      <name val="Tahoma"/>
    </font>
    <font>
      <b/>
      <u/>
      <sz val="11"/>
      <color theme="1"/>
      <name val="Tahoma"/>
    </font>
    <font>
      <b/>
      <u/>
      <sz val="20"/>
      <color theme="1"/>
      <name val="Calibri"/>
    </font>
    <font>
      <b/>
      <u/>
      <sz val="20"/>
      <color theme="1"/>
      <name val="Calibri"/>
    </font>
    <font>
      <b/>
      <u/>
      <sz val="11"/>
      <color theme="1"/>
      <name val="Calibri"/>
    </font>
    <font>
      <b/>
      <u/>
      <sz val="16"/>
      <color rgb="FF0000FF"/>
      <name val="Calibri"/>
    </font>
    <font>
      <b/>
      <sz val="11"/>
      <color theme="1"/>
      <name val="Tahoma"/>
    </font>
    <font>
      <sz val="11"/>
      <name val="Calibri"/>
    </font>
    <font>
      <sz val="11"/>
      <color theme="1"/>
      <name val="Calibri"/>
      <scheme val="minor"/>
    </font>
    <font>
      <b/>
      <sz val="11"/>
      <color rgb="FFFF0000"/>
      <name val="Calibri"/>
    </font>
    <font>
      <i/>
      <sz val="11"/>
      <color rgb="FF7F7F7F"/>
      <name val="Calibri"/>
    </font>
    <font>
      <sz val="12"/>
      <color theme="1"/>
      <name val="Calibri"/>
    </font>
    <font>
      <b/>
      <sz val="9"/>
      <color theme="1"/>
      <name val="Calibri"/>
    </font>
    <font>
      <sz val="11"/>
      <color rgb="FFFF0000"/>
      <name val="Calibri"/>
    </font>
    <font>
      <sz val="16"/>
      <color theme="1"/>
      <name val="Calibri"/>
    </font>
    <font>
      <sz val="8"/>
      <color theme="1"/>
      <name val="Calibri"/>
    </font>
    <font>
      <b/>
      <sz val="11"/>
      <color rgb="FFFFFFFF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164" fontId="8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2" fillId="0" borderId="0" xfId="0" applyFont="1"/>
    <xf numFmtId="0" fontId="2" fillId="0" borderId="1" xfId="0" applyFont="1" applyBorder="1"/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5" fontId="1" fillId="0" borderId="4" xfId="0" applyNumberFormat="1" applyFont="1" applyBorder="1" applyAlignment="1">
      <alignment vertical="center"/>
    </xf>
    <xf numFmtId="165" fontId="1" fillId="0" borderId="2" xfId="0" applyNumberFormat="1" applyFont="1" applyBorder="1" applyAlignment="1">
      <alignment horizontal="left" vertical="center"/>
    </xf>
    <xf numFmtId="166" fontId="1" fillId="0" borderId="2" xfId="0" applyNumberFormat="1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5" fontId="1" fillId="0" borderId="2" xfId="0" applyNumberFormat="1" applyFont="1" applyBorder="1" applyAlignment="1">
      <alignment vertical="center"/>
    </xf>
    <xf numFmtId="166" fontId="1" fillId="0" borderId="5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vertical="center"/>
    </xf>
    <xf numFmtId="164" fontId="1" fillId="0" borderId="5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68" fontId="1" fillId="0" borderId="2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167" fontId="1" fillId="0" borderId="2" xfId="0" applyNumberFormat="1" applyFont="1" applyBorder="1" applyAlignment="1">
      <alignment horizontal="center" vertical="center"/>
    </xf>
    <xf numFmtId="0" fontId="12" fillId="0" borderId="0" xfId="0" applyFont="1"/>
    <xf numFmtId="0" fontId="13" fillId="0" borderId="0" xfId="0" applyFont="1"/>
    <xf numFmtId="0" fontId="14" fillId="0" borderId="0" xfId="0" applyFont="1"/>
    <xf numFmtId="165" fontId="1" fillId="0" borderId="4" xfId="0" applyNumberFormat="1" applyFont="1" applyBorder="1" applyAlignment="1">
      <alignment horizontal="left" vertical="center"/>
    </xf>
    <xf numFmtId="165" fontId="1" fillId="0" borderId="5" xfId="0" applyNumberFormat="1" applyFont="1" applyBorder="1" applyAlignment="1">
      <alignment horizontal="left" vertical="center" wrapText="1"/>
    </xf>
    <xf numFmtId="167" fontId="15" fillId="0" borderId="0" xfId="0" applyNumberFormat="1" applyFont="1" applyAlignment="1">
      <alignment horizontal="left"/>
    </xf>
    <xf numFmtId="0" fontId="1" fillId="0" borderId="5" xfId="0" applyFont="1" applyBorder="1" applyAlignment="1">
      <alignment horizontal="left" vertical="center"/>
    </xf>
    <xf numFmtId="167" fontId="1" fillId="0" borderId="4" xfId="0" applyNumberFormat="1" applyFont="1" applyBorder="1" applyAlignment="1">
      <alignment horizontal="center" vertical="center"/>
    </xf>
    <xf numFmtId="3" fontId="16" fillId="0" borderId="0" xfId="0" applyNumberFormat="1" applyFont="1" applyAlignment="1">
      <alignment horizontal="center" vertical="center"/>
    </xf>
    <xf numFmtId="0" fontId="17" fillId="0" borderId="0" xfId="0" applyFont="1"/>
    <xf numFmtId="166" fontId="1" fillId="0" borderId="2" xfId="0" applyNumberFormat="1" applyFont="1" applyBorder="1" applyAlignment="1">
      <alignment vertical="center"/>
    </xf>
    <xf numFmtId="167" fontId="1" fillId="0" borderId="5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/>
    <xf numFmtId="166" fontId="1" fillId="0" borderId="5" xfId="0" applyNumberFormat="1" applyFont="1" applyBorder="1" applyAlignment="1">
      <alignment vertical="center"/>
    </xf>
    <xf numFmtId="166" fontId="18" fillId="0" borderId="0" xfId="0" applyNumberFormat="1" applyFont="1" applyAlignment="1">
      <alignment horizontal="center"/>
    </xf>
    <xf numFmtId="165" fontId="1" fillId="0" borderId="5" xfId="0" applyNumberFormat="1" applyFont="1" applyBorder="1" applyAlignment="1">
      <alignment horizontal="left" vertical="center"/>
    </xf>
    <xf numFmtId="168" fontId="1" fillId="0" borderId="5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166" fontId="19" fillId="0" borderId="0" xfId="0" applyNumberFormat="1" applyFont="1" applyAlignment="1">
      <alignment vertical="center" wrapText="1"/>
    </xf>
    <xf numFmtId="0" fontId="2" fillId="0" borderId="0" xfId="0" applyFont="1" applyAlignment="1">
      <alignment horizontal="right"/>
    </xf>
    <xf numFmtId="166" fontId="1" fillId="0" borderId="0" xfId="0" applyNumberFormat="1" applyFont="1" applyAlignment="1">
      <alignment horizontal="left"/>
    </xf>
    <xf numFmtId="16" fontId="2" fillId="0" borderId="0" xfId="0" applyNumberFormat="1" applyFont="1"/>
    <xf numFmtId="0" fontId="19" fillId="0" borderId="0" xfId="0" applyFont="1"/>
    <xf numFmtId="164" fontId="1" fillId="0" borderId="5" xfId="0" applyNumberFormat="1" applyFont="1" applyBorder="1" applyAlignment="1">
      <alignment vertical="center"/>
    </xf>
    <xf numFmtId="0" fontId="1" fillId="0" borderId="5" xfId="0" applyFont="1" applyBorder="1" applyAlignment="1">
      <alignment horizontal="center" vertical="center" wrapText="1"/>
    </xf>
    <xf numFmtId="168" fontId="1" fillId="0" borderId="5" xfId="0" applyNumberFormat="1" applyFont="1" applyBorder="1" applyAlignment="1">
      <alignment vertical="center"/>
    </xf>
    <xf numFmtId="164" fontId="1" fillId="0" borderId="2" xfId="0" applyNumberFormat="1" applyFont="1" applyBorder="1" applyAlignment="1">
      <alignment vertical="center"/>
    </xf>
    <xf numFmtId="165" fontId="10" fillId="0" borderId="2" xfId="0" applyNumberFormat="1" applyFont="1" applyBorder="1" applyAlignment="1">
      <alignment vertical="center"/>
    </xf>
    <xf numFmtId="164" fontId="1" fillId="0" borderId="9" xfId="0" applyNumberFormat="1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166" fontId="10" fillId="0" borderId="13" xfId="0" applyNumberFormat="1" applyFont="1" applyBorder="1" applyAlignment="1">
      <alignment horizontal="center" vertical="center"/>
    </xf>
    <xf numFmtId="167" fontId="10" fillId="0" borderId="14" xfId="0" applyNumberFormat="1" applyFont="1" applyBorder="1" applyAlignment="1">
      <alignment horizontal="center" vertical="center"/>
    </xf>
    <xf numFmtId="164" fontId="10" fillId="0" borderId="7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3" fontId="2" fillId="0" borderId="0" xfId="0" applyNumberFormat="1" applyFont="1"/>
    <xf numFmtId="168" fontId="2" fillId="0" borderId="0" xfId="0" applyNumberFormat="1" applyFont="1"/>
    <xf numFmtId="2" fontId="2" fillId="0" borderId="0" xfId="0" applyNumberFormat="1" applyFont="1"/>
    <xf numFmtId="0" fontId="1" fillId="0" borderId="0" xfId="0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/>
    <xf numFmtId="167" fontId="1" fillId="0" borderId="0" xfId="0" applyNumberFormat="1" applyFont="1" applyAlignment="1">
      <alignment horizontal="center" vertical="center"/>
    </xf>
    <xf numFmtId="0" fontId="0" fillId="0" borderId="0" xfId="0"/>
    <xf numFmtId="165" fontId="1" fillId="0" borderId="3" xfId="0" applyNumberFormat="1" applyFont="1" applyBorder="1" applyAlignment="1">
      <alignment horizontal="center" vertical="center"/>
    </xf>
    <xf numFmtId="0" fontId="11" fillId="0" borderId="6" xfId="0" applyFont="1" applyBorder="1"/>
    <xf numFmtId="0" fontId="2" fillId="0" borderId="5" xfId="0" applyFont="1" applyBorder="1" applyAlignment="1">
      <alignment horizontal="center" vertical="center" wrapText="1"/>
    </xf>
    <xf numFmtId="0" fontId="11" fillId="0" borderId="7" xfId="0" applyFont="1" applyBorder="1"/>
    <xf numFmtId="0" fontId="11" fillId="0" borderId="8" xfId="0" applyFont="1" applyBorder="1"/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 wrapText="1"/>
    </xf>
    <xf numFmtId="169" fontId="1" fillId="0" borderId="2" xfId="0" applyNumberFormat="1" applyFont="1" applyBorder="1" applyAlignment="1">
      <alignment horizontal="right" vertical="center"/>
    </xf>
    <xf numFmtId="169" fontId="1" fillId="0" borderId="5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>
                <a:solidFill>
                  <a:srgbClr val="0F172A"/>
                </a:solidFill>
                <a:latin typeface="Segoe UI"/>
                <a:ea typeface="Segoe UI"/>
                <a:cs typeface="Segoe UI"/>
              </a:defRPr>
            </a:pPr>
            <a:r>
              <a:rPr lang="en-MY"/>
              <a:t>NESB STORAGE TANK STOCK LEVEL (100% CYLINDRICAL VIEW)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Liquid Level (Current Stock)</c:v>
          </c:tx>
          <c:spPr>
            <a:gradFill flip="none" rotWithShape="1">
              <a:gsLst>
                <a:gs pos="0">
                  <a:srgbClr val="F59E0B"/>
                </a:gs>
                <a:gs pos="100000">
                  <a:srgbClr val="B45309"/>
                </a:gs>
              </a:gsLst>
              <a:lin ang="5400000" scaled="1"/>
              <a:tileRect/>
            </a:gradFill>
            <a:ln w="9525">
              <a:solidFill>
                <a:srgbClr val="64748B"/>
              </a:solidFill>
            </a:ln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'25.09.2026 _NOW ONGOING'!$B$7:$B$70</c:f>
              <c:strCache>
                <c:ptCount val="64"/>
                <c:pt idx="0">
                  <c:v>NE 1</c:v>
                </c:pt>
                <c:pt idx="1">
                  <c:v>NE 2</c:v>
                </c:pt>
                <c:pt idx="2">
                  <c:v>NE 3</c:v>
                </c:pt>
                <c:pt idx="3">
                  <c:v>NE 6</c:v>
                </c:pt>
                <c:pt idx="4">
                  <c:v>NE 7</c:v>
                </c:pt>
                <c:pt idx="5">
                  <c:v>NE 8 (SUM 2)</c:v>
                </c:pt>
                <c:pt idx="6">
                  <c:v>NE 11 (SUM 3)</c:v>
                </c:pt>
                <c:pt idx="7">
                  <c:v>NE 14</c:v>
                </c:pt>
                <c:pt idx="8">
                  <c:v>NE 15</c:v>
                </c:pt>
                <c:pt idx="9">
                  <c:v>NE 16</c:v>
                </c:pt>
                <c:pt idx="10">
                  <c:v>NE 21</c:v>
                </c:pt>
                <c:pt idx="11">
                  <c:v>NE 21A</c:v>
                </c:pt>
                <c:pt idx="12">
                  <c:v>NE 22</c:v>
                </c:pt>
                <c:pt idx="13">
                  <c:v>NE 23</c:v>
                </c:pt>
                <c:pt idx="14">
                  <c:v>NE 24</c:v>
                </c:pt>
                <c:pt idx="15">
                  <c:v>NE 25</c:v>
                </c:pt>
                <c:pt idx="16">
                  <c:v>NE 26</c:v>
                </c:pt>
                <c:pt idx="17">
                  <c:v>NE 27</c:v>
                </c:pt>
                <c:pt idx="18">
                  <c:v>NE 28</c:v>
                </c:pt>
                <c:pt idx="19">
                  <c:v>NE 29</c:v>
                </c:pt>
                <c:pt idx="20">
                  <c:v>NE 30</c:v>
                </c:pt>
                <c:pt idx="21">
                  <c:v>NE 32</c:v>
                </c:pt>
                <c:pt idx="22">
                  <c:v>NE 34</c:v>
                </c:pt>
                <c:pt idx="23">
                  <c:v>NE 35</c:v>
                </c:pt>
                <c:pt idx="24">
                  <c:v>NE 36</c:v>
                </c:pt>
                <c:pt idx="25">
                  <c:v>NE 37</c:v>
                </c:pt>
                <c:pt idx="26">
                  <c:v>NE 38</c:v>
                </c:pt>
                <c:pt idx="27">
                  <c:v>NE 39</c:v>
                </c:pt>
                <c:pt idx="28">
                  <c:v>NE 40</c:v>
                </c:pt>
                <c:pt idx="29">
                  <c:v>NE 41</c:v>
                </c:pt>
                <c:pt idx="30">
                  <c:v>NE 42</c:v>
                </c:pt>
                <c:pt idx="31">
                  <c:v>NE 47</c:v>
                </c:pt>
                <c:pt idx="32">
                  <c:v>NE 48</c:v>
                </c:pt>
                <c:pt idx="33">
                  <c:v>NE 49</c:v>
                </c:pt>
                <c:pt idx="34">
                  <c:v>NE50</c:v>
                </c:pt>
                <c:pt idx="35">
                  <c:v>NE 51</c:v>
                </c:pt>
                <c:pt idx="36">
                  <c:v>NE 52</c:v>
                </c:pt>
                <c:pt idx="37">
                  <c:v>NE 53</c:v>
                </c:pt>
                <c:pt idx="38">
                  <c:v>NE 54</c:v>
                </c:pt>
                <c:pt idx="39">
                  <c:v>NE 55</c:v>
                </c:pt>
                <c:pt idx="40">
                  <c:v>NE 56</c:v>
                </c:pt>
                <c:pt idx="41">
                  <c:v>NE 57</c:v>
                </c:pt>
                <c:pt idx="42">
                  <c:v>NE 58</c:v>
                </c:pt>
                <c:pt idx="43">
                  <c:v>NE 59</c:v>
                </c:pt>
                <c:pt idx="44">
                  <c:v>NE 60</c:v>
                </c:pt>
                <c:pt idx="45">
                  <c:v>NE61</c:v>
                </c:pt>
                <c:pt idx="46">
                  <c:v>NE62</c:v>
                </c:pt>
                <c:pt idx="47">
                  <c:v>NE63</c:v>
                </c:pt>
                <c:pt idx="48">
                  <c:v>NE64</c:v>
                </c:pt>
                <c:pt idx="49">
                  <c:v>NE65</c:v>
                </c:pt>
                <c:pt idx="50">
                  <c:v>NE66</c:v>
                </c:pt>
                <c:pt idx="51">
                  <c:v>NE67</c:v>
                </c:pt>
                <c:pt idx="52">
                  <c:v>NE68</c:v>
                </c:pt>
                <c:pt idx="53">
                  <c:v>NE69</c:v>
                </c:pt>
                <c:pt idx="54">
                  <c:v>NE70</c:v>
                </c:pt>
                <c:pt idx="55">
                  <c:v>NE71</c:v>
                </c:pt>
                <c:pt idx="56">
                  <c:v>NE72</c:v>
                </c:pt>
                <c:pt idx="57">
                  <c:v>NE73</c:v>
                </c:pt>
                <c:pt idx="58">
                  <c:v>NE74</c:v>
                </c:pt>
                <c:pt idx="59">
                  <c:v>NE75</c:v>
                </c:pt>
                <c:pt idx="60">
                  <c:v>NE76</c:v>
                </c:pt>
                <c:pt idx="61">
                  <c:v>NE77</c:v>
                </c:pt>
                <c:pt idx="62">
                  <c:v>NE78</c:v>
                </c:pt>
                <c:pt idx="63">
                  <c:v>SOAP PLANT TANK 4</c:v>
                </c:pt>
              </c:strCache>
            </c:strRef>
          </c:cat>
          <c:val>
            <c:numRef>
              <c:f>'25.09.2026 _NOW ONGOING'!$H$7:$H$70</c:f>
              <c:numCache>
                <c:formatCode>0.0%</c:formatCode>
                <c:ptCount val="64"/>
                <c:pt idx="0">
                  <c:v>0.94774999999999987</c:v>
                </c:pt>
                <c:pt idx="1">
                  <c:v>0</c:v>
                </c:pt>
                <c:pt idx="2">
                  <c:v>0.6835</c:v>
                </c:pt>
                <c:pt idx="3">
                  <c:v>0.87</c:v>
                </c:pt>
                <c:pt idx="4">
                  <c:v>1.0016</c:v>
                </c:pt>
                <c:pt idx="5">
                  <c:v>0</c:v>
                </c:pt>
                <c:pt idx="6">
                  <c:v>0</c:v>
                </c:pt>
                <c:pt idx="7">
                  <c:v>5.3714285714285714E-2</c:v>
                </c:pt>
                <c:pt idx="8">
                  <c:v>0.57228571428571429</c:v>
                </c:pt>
                <c:pt idx="9">
                  <c:v>0.50428571428571423</c:v>
                </c:pt>
                <c:pt idx="10">
                  <c:v>0.29882352941176471</c:v>
                </c:pt>
                <c:pt idx="11">
                  <c:v>0.49705882352941172</c:v>
                </c:pt>
                <c:pt idx="12">
                  <c:v>0</c:v>
                </c:pt>
                <c:pt idx="13">
                  <c:v>0.29916666666666664</c:v>
                </c:pt>
                <c:pt idx="14">
                  <c:v>0.70719999999999994</c:v>
                </c:pt>
                <c:pt idx="15">
                  <c:v>0.89087499999999997</c:v>
                </c:pt>
                <c:pt idx="16">
                  <c:v>0.90200000000000002</c:v>
                </c:pt>
                <c:pt idx="17">
                  <c:v>0.66666666666666663</c:v>
                </c:pt>
                <c:pt idx="18">
                  <c:v>1</c:v>
                </c:pt>
                <c:pt idx="19">
                  <c:v>0</c:v>
                </c:pt>
                <c:pt idx="20">
                  <c:v>0.86435294117647055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0.99723809523809515</c:v>
                </c:pt>
                <c:pt idx="26">
                  <c:v>0.73495238095238102</c:v>
                </c:pt>
                <c:pt idx="27">
                  <c:v>0</c:v>
                </c:pt>
                <c:pt idx="28">
                  <c:v>0.6744</c:v>
                </c:pt>
                <c:pt idx="29">
                  <c:v>6.814285714285713E-2</c:v>
                </c:pt>
                <c:pt idx="30">
                  <c:v>0.57599999999999996</c:v>
                </c:pt>
                <c:pt idx="31">
                  <c:v>1</c:v>
                </c:pt>
                <c:pt idx="32">
                  <c:v>0.4456</c:v>
                </c:pt>
                <c:pt idx="33">
                  <c:v>0.53425</c:v>
                </c:pt>
                <c:pt idx="34">
                  <c:v>0.44074999999999998</c:v>
                </c:pt>
                <c:pt idx="35">
                  <c:v>0.88650000000000007</c:v>
                </c:pt>
                <c:pt idx="36">
                  <c:v>0.99952941176470578</c:v>
                </c:pt>
                <c:pt idx="37">
                  <c:v>0.74924999999999997</c:v>
                </c:pt>
                <c:pt idx="38">
                  <c:v>0.88762500000000011</c:v>
                </c:pt>
                <c:pt idx="39">
                  <c:v>0.80700000000000005</c:v>
                </c:pt>
                <c:pt idx="40">
                  <c:v>0.25824999999999998</c:v>
                </c:pt>
                <c:pt idx="41">
                  <c:v>0.12825</c:v>
                </c:pt>
                <c:pt idx="42">
                  <c:v>0</c:v>
                </c:pt>
                <c:pt idx="43">
                  <c:v>0.3256470588235294</c:v>
                </c:pt>
                <c:pt idx="44">
                  <c:v>0.6926000000000001</c:v>
                </c:pt>
                <c:pt idx="45">
                  <c:v>0.90212500000000007</c:v>
                </c:pt>
                <c:pt idx="46">
                  <c:v>0.40582499999999999</c:v>
                </c:pt>
                <c:pt idx="47">
                  <c:v>1.0055000000000001</c:v>
                </c:pt>
                <c:pt idx="48">
                  <c:v>0</c:v>
                </c:pt>
                <c:pt idx="49">
                  <c:v>0</c:v>
                </c:pt>
                <c:pt idx="50">
                  <c:v>0.57333333333333336</c:v>
                </c:pt>
                <c:pt idx="51">
                  <c:v>0.92333333333333334</c:v>
                </c:pt>
                <c:pt idx="52">
                  <c:v>1.0433333333333334</c:v>
                </c:pt>
                <c:pt idx="53">
                  <c:v>0</c:v>
                </c:pt>
                <c:pt idx="54">
                  <c:v>0</c:v>
                </c:pt>
                <c:pt idx="55">
                  <c:v>0.74560000000000004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0.79166666666666663</c:v>
                </c:pt>
                <c:pt idx="62">
                  <c:v>0</c:v>
                </c:pt>
                <c:pt idx="63">
                  <c:v>0.70607142857142857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AE-4B91-9DAD-C561C9EB8A2E}"/>
            </c:ext>
          </c:extLst>
        </c:ser>
        <c:ser>
          <c:idx val="1"/>
          <c:order val="1"/>
          <c:tx>
            <c:v>Empty Space (Ullage)</c:v>
          </c:tx>
          <c:spPr>
            <a:gradFill flip="none" rotWithShape="1">
              <a:gsLst>
                <a:gs pos="0">
                  <a:srgbClr val="F1F5F9"/>
                </a:gs>
                <a:gs pos="100000">
                  <a:srgbClr val="DAE0E9"/>
                </a:gs>
              </a:gsLst>
              <a:lin ang="5400000" scaled="1"/>
              <a:tileRect/>
            </a:gradFill>
            <a:ln w="9525">
              <a:solidFill>
                <a:srgbClr val="94A3B8"/>
              </a:solidFill>
            </a:ln>
          </c:spPr>
          <c:invertIfNegative val="0"/>
          <c:val>
            <c:numRef>
              <c:f>'25.09.2026 _NOW ONGOING'!$I$7:$I$70</c:f>
              <c:numCache>
                <c:formatCode>0.0%</c:formatCode>
                <c:ptCount val="64"/>
                <c:pt idx="0">
                  <c:v>5.2250000000000088E-2</c:v>
                </c:pt>
                <c:pt idx="1">
                  <c:v>1</c:v>
                </c:pt>
                <c:pt idx="2">
                  <c:v>0.3165</c:v>
                </c:pt>
                <c:pt idx="3">
                  <c:v>0.13</c:v>
                </c:pt>
                <c:pt idx="4">
                  <c:v>-1.5999999999999658E-3</c:v>
                </c:pt>
                <c:pt idx="5">
                  <c:v>1</c:v>
                </c:pt>
                <c:pt idx="6">
                  <c:v>1</c:v>
                </c:pt>
                <c:pt idx="7">
                  <c:v>0.94628571428571417</c:v>
                </c:pt>
                <c:pt idx="8">
                  <c:v>0.42771428571428566</c:v>
                </c:pt>
                <c:pt idx="9">
                  <c:v>0.49571428571428577</c:v>
                </c:pt>
                <c:pt idx="10">
                  <c:v>0.70117647058823529</c:v>
                </c:pt>
                <c:pt idx="11">
                  <c:v>0.50294117647058822</c:v>
                </c:pt>
                <c:pt idx="12">
                  <c:v>1</c:v>
                </c:pt>
                <c:pt idx="13">
                  <c:v>0.70083333333333331</c:v>
                </c:pt>
                <c:pt idx="14">
                  <c:v>0.2928</c:v>
                </c:pt>
                <c:pt idx="15">
                  <c:v>0.10912500000000006</c:v>
                </c:pt>
                <c:pt idx="16">
                  <c:v>9.799999999999999E-2</c:v>
                </c:pt>
                <c:pt idx="17">
                  <c:v>0.33333333333333331</c:v>
                </c:pt>
                <c:pt idx="18">
                  <c:v>0</c:v>
                </c:pt>
                <c:pt idx="19">
                  <c:v>1</c:v>
                </c:pt>
                <c:pt idx="20">
                  <c:v>0.13564705882352943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2.7619047619048213E-3</c:v>
                </c:pt>
                <c:pt idx="26">
                  <c:v>0.26504761904761903</c:v>
                </c:pt>
                <c:pt idx="27">
                  <c:v>1</c:v>
                </c:pt>
                <c:pt idx="28">
                  <c:v>0.3256</c:v>
                </c:pt>
                <c:pt idx="29">
                  <c:v>0.93185714285714294</c:v>
                </c:pt>
                <c:pt idx="30">
                  <c:v>0.42399999999999999</c:v>
                </c:pt>
                <c:pt idx="31">
                  <c:v>0</c:v>
                </c:pt>
                <c:pt idx="32">
                  <c:v>0.5544</c:v>
                </c:pt>
                <c:pt idx="33">
                  <c:v>0.46575</c:v>
                </c:pt>
                <c:pt idx="34">
                  <c:v>0.55925000000000002</c:v>
                </c:pt>
                <c:pt idx="35">
                  <c:v>0.11349999999999998</c:v>
                </c:pt>
                <c:pt idx="36">
                  <c:v>4.7058823529419122E-4</c:v>
                </c:pt>
                <c:pt idx="37">
                  <c:v>0.25075000000000003</c:v>
                </c:pt>
                <c:pt idx="38">
                  <c:v>0.11237499999999993</c:v>
                </c:pt>
                <c:pt idx="39">
                  <c:v>0.19299999999999998</c:v>
                </c:pt>
                <c:pt idx="40">
                  <c:v>0.74175000000000002</c:v>
                </c:pt>
                <c:pt idx="41">
                  <c:v>0.87174999999999991</c:v>
                </c:pt>
                <c:pt idx="42">
                  <c:v>1</c:v>
                </c:pt>
                <c:pt idx="43">
                  <c:v>0.6743529411764706</c:v>
                </c:pt>
                <c:pt idx="44">
                  <c:v>0.30739999999999995</c:v>
                </c:pt>
                <c:pt idx="45">
                  <c:v>9.7874999999999976E-2</c:v>
                </c:pt>
                <c:pt idx="46">
                  <c:v>0.59417500000000001</c:v>
                </c:pt>
                <c:pt idx="47">
                  <c:v>-5.4999999999999719E-3</c:v>
                </c:pt>
                <c:pt idx="48">
                  <c:v>1</c:v>
                </c:pt>
                <c:pt idx="49">
                  <c:v>1</c:v>
                </c:pt>
                <c:pt idx="50">
                  <c:v>0.42666666666666669</c:v>
                </c:pt>
                <c:pt idx="51">
                  <c:v>7.6666666666666689E-2</c:v>
                </c:pt>
                <c:pt idx="52">
                  <c:v>-4.3333333333333356E-2</c:v>
                </c:pt>
                <c:pt idx="53">
                  <c:v>1</c:v>
                </c:pt>
                <c:pt idx="54">
                  <c:v>1</c:v>
                </c:pt>
                <c:pt idx="55">
                  <c:v>0.25439999999999996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0.20833333333333334</c:v>
                </c:pt>
                <c:pt idx="62">
                  <c:v>1</c:v>
                </c:pt>
                <c:pt idx="63">
                  <c:v>0.29392857142857143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AE-4B91-9DAD-C561C9EB8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90010176"/>
        <c:axId val="490011256"/>
      </c:barChart>
      <c:catAx>
        <c:axId val="49001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94A3B8"/>
            </a:solidFill>
          </a:ln>
        </c:spPr>
        <c:txPr>
          <a:bodyPr rot="-2700000" vert="horz"/>
          <a:lstStyle/>
          <a:p>
            <a:pPr>
              <a:defRPr sz="800" b="1"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490011256"/>
        <c:crosses val="autoZero"/>
        <c:auto val="1"/>
        <c:lblAlgn val="ctr"/>
        <c:lblOffset val="100"/>
        <c:noMultiLvlLbl val="0"/>
      </c:catAx>
      <c:valAx>
        <c:axId val="490011256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E2E8F0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solidFill>
              <a:srgbClr val="94A3B8"/>
            </a:solidFill>
          </a:ln>
        </c:spPr>
        <c:txPr>
          <a:bodyPr/>
          <a:lstStyle/>
          <a:p>
            <a:pPr>
              <a:defRPr sz="800"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490010176"/>
        <c:crosses val="autoZero"/>
        <c:crossBetween val="between"/>
        <c:majorUnit val="0.25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850" b="1"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CBD5E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72</xdr:row>
      <xdr:rowOff>136525</xdr:rowOff>
    </xdr:from>
    <xdr:to>
      <xdr:col>13</xdr:col>
      <xdr:colOff>69850</xdr:colOff>
      <xdr:row>99</xdr:row>
      <xdr:rowOff>22225</xdr:rowOff>
    </xdr:to>
    <xdr:graphicFrame macro="">
      <xdr:nvGraphicFramePr>
        <xdr:cNvPr id="2" name="CylindricalTankFarmChart">
          <a:extLst>
            <a:ext uri="{FF2B5EF4-FFF2-40B4-BE49-F238E27FC236}">
              <a16:creationId xmlns:a16="http://schemas.microsoft.com/office/drawing/2014/main" id="{85C1C0C0-A07C-BA5A-6A8E-CEA1C0A59E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about:bl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000"/>
  <sheetViews>
    <sheetView tabSelected="1" topLeftCell="D88" workbookViewId="0">
      <selection activeCell="B72" sqref="B72"/>
    </sheetView>
  </sheetViews>
  <sheetFormatPr defaultColWidth="14.42578125" defaultRowHeight="15" customHeight="1"/>
  <cols>
    <col min="1" max="1" width="10.5703125" customWidth="1"/>
    <col min="2" max="2" width="37.140625" customWidth="1"/>
    <col min="3" max="3" width="49.42578125" customWidth="1"/>
    <col min="4" max="4" width="63.7109375" customWidth="1"/>
    <col min="5" max="5" width="20.85546875" customWidth="1"/>
    <col min="6" max="6" width="20.42578125" customWidth="1"/>
    <col min="7" max="7" width="24.7109375" customWidth="1"/>
    <col min="8" max="8" width="11.42578125" customWidth="1"/>
    <col min="9" max="9" width="12" customWidth="1"/>
    <col min="10" max="10" width="19.28515625" customWidth="1"/>
    <col min="11" max="11" width="9" customWidth="1"/>
    <col min="12" max="12" width="10.7109375" customWidth="1"/>
    <col min="13" max="13" width="12" customWidth="1"/>
    <col min="14" max="14" width="16.42578125" customWidth="1"/>
    <col min="15" max="15" width="9" customWidth="1"/>
    <col min="16" max="16" width="14.85546875" customWidth="1"/>
    <col min="17" max="26" width="9" customWidth="1"/>
  </cols>
  <sheetData>
    <row r="1" spans="1:14">
      <c r="C1" s="1"/>
      <c r="D1" s="1"/>
      <c r="E1" s="2"/>
      <c r="G1" s="3"/>
    </row>
    <row r="2" spans="1:14" ht="26.25" customHeight="1">
      <c r="B2" s="4" t="s">
        <v>0</v>
      </c>
      <c r="C2" s="5"/>
      <c r="D2" s="5"/>
      <c r="E2" s="6"/>
      <c r="F2" s="7"/>
      <c r="G2" s="8"/>
      <c r="H2" s="7"/>
      <c r="I2" s="7"/>
    </row>
    <row r="3" spans="1:14" ht="18" customHeight="1">
      <c r="B3" s="4"/>
      <c r="C3" s="5"/>
      <c r="D3" s="5"/>
      <c r="E3" s="6"/>
      <c r="F3" s="7"/>
      <c r="G3" s="8"/>
      <c r="H3" s="7"/>
      <c r="I3" s="7"/>
    </row>
    <row r="4" spans="1:14" ht="21">
      <c r="B4" s="9" t="s">
        <v>1</v>
      </c>
      <c r="C4" s="1"/>
      <c r="D4" s="1"/>
      <c r="E4" s="2"/>
      <c r="F4" s="10"/>
      <c r="G4" s="3"/>
      <c r="H4" s="10"/>
    </row>
    <row r="5" spans="1:14">
      <c r="B5" s="10"/>
      <c r="C5" s="1"/>
      <c r="D5" s="1"/>
      <c r="E5" s="2"/>
      <c r="F5" s="10"/>
      <c r="G5" s="3"/>
      <c r="H5" s="10"/>
    </row>
    <row r="6" spans="1:14" ht="22.5" customHeight="1">
      <c r="A6" s="11"/>
      <c r="B6" s="12" t="s">
        <v>2</v>
      </c>
      <c r="C6" s="12" t="s">
        <v>3</v>
      </c>
      <c r="D6" s="12" t="s">
        <v>4</v>
      </c>
      <c r="E6" s="12" t="s">
        <v>5</v>
      </c>
      <c r="F6" s="13" t="s">
        <v>6</v>
      </c>
      <c r="G6" s="14" t="s">
        <v>7</v>
      </c>
      <c r="H6" s="90" t="s">
        <v>136</v>
      </c>
      <c r="I6" s="91" t="s">
        <v>137</v>
      </c>
      <c r="J6" s="2"/>
      <c r="K6" s="2"/>
      <c r="L6" s="2"/>
      <c r="M6" s="2"/>
    </row>
    <row r="7" spans="1:14" ht="19.5" customHeight="1">
      <c r="B7" s="15" t="s">
        <v>8</v>
      </c>
      <c r="C7" s="16" t="s">
        <v>9</v>
      </c>
      <c r="D7" s="17" t="s">
        <v>10</v>
      </c>
      <c r="E7" s="18">
        <v>37.909999999999997</v>
      </c>
      <c r="F7" s="19">
        <v>40</v>
      </c>
      <c r="G7" s="20">
        <f t="shared" ref="G7:G8" si="0">SUM(F7-E7)</f>
        <v>2.0900000000000034</v>
      </c>
      <c r="H7" s="92">
        <f>E7 / F7</f>
        <v>0.94774999999999987</v>
      </c>
      <c r="I7" s="92">
        <f>G7 / F7</f>
        <v>5.2250000000000088E-2</v>
      </c>
    </row>
    <row r="8" spans="1:14" ht="19.5" customHeight="1">
      <c r="B8" s="21" t="s">
        <v>11</v>
      </c>
      <c r="C8" s="16" t="s">
        <v>12</v>
      </c>
      <c r="D8" s="17"/>
      <c r="E8" s="18"/>
      <c r="F8" s="19">
        <v>40</v>
      </c>
      <c r="G8" s="20">
        <f t="shared" si="0"/>
        <v>40</v>
      </c>
      <c r="H8" s="92">
        <f>E8 / F8</f>
        <v>0</v>
      </c>
      <c r="I8" s="92">
        <f>G8 / F8</f>
        <v>1</v>
      </c>
      <c r="J8" s="22"/>
    </row>
    <row r="9" spans="1:14" ht="19.5" customHeight="1">
      <c r="A9" s="10"/>
      <c r="B9" s="15" t="s">
        <v>13</v>
      </c>
      <c r="C9" s="16" t="s">
        <v>14</v>
      </c>
      <c r="D9" s="23" t="s">
        <v>15</v>
      </c>
      <c r="E9" s="24">
        <v>27.34</v>
      </c>
      <c r="F9" s="19">
        <v>40</v>
      </c>
      <c r="G9" s="20">
        <f t="shared" ref="G9:G11" si="1">SUM(F9-(E9))</f>
        <v>12.66</v>
      </c>
      <c r="H9" s="92">
        <f>E9 / F9</f>
        <v>0.6835</v>
      </c>
      <c r="I9" s="92">
        <f>G9 / F9</f>
        <v>0.3165</v>
      </c>
    </row>
    <row r="10" spans="1:14" ht="19.5" customHeight="1">
      <c r="B10" s="21" t="s">
        <v>16</v>
      </c>
      <c r="C10" s="16" t="s">
        <v>17</v>
      </c>
      <c r="D10" s="25" t="s">
        <v>18</v>
      </c>
      <c r="E10" s="24">
        <v>21.75</v>
      </c>
      <c r="F10" s="19">
        <v>25</v>
      </c>
      <c r="G10" s="26">
        <f t="shared" si="1"/>
        <v>3.25</v>
      </c>
      <c r="H10" s="92">
        <f>E10 / F10</f>
        <v>0.87</v>
      </c>
      <c r="I10" s="92">
        <f>G10 / F10</f>
        <v>0.13</v>
      </c>
      <c r="J10" s="27"/>
    </row>
    <row r="11" spans="1:14" ht="19.5" customHeight="1">
      <c r="B11" s="21" t="s">
        <v>19</v>
      </c>
      <c r="C11" s="28" t="s">
        <v>20</v>
      </c>
      <c r="D11" s="29" t="s">
        <v>18</v>
      </c>
      <c r="E11" s="24">
        <v>25.04</v>
      </c>
      <c r="F11" s="19">
        <v>25</v>
      </c>
      <c r="G11" s="20">
        <f t="shared" si="1"/>
        <v>-3.9999999999999147E-2</v>
      </c>
      <c r="H11" s="92">
        <f>E11 / F11</f>
        <v>1.0016</v>
      </c>
      <c r="I11" s="92">
        <f>G11 / F11</f>
        <v>-1.5999999999999658E-3</v>
      </c>
      <c r="J11" s="27"/>
    </row>
    <row r="12" spans="1:14" ht="19.5" customHeight="1">
      <c r="B12" s="21" t="s">
        <v>21</v>
      </c>
      <c r="C12" s="82" t="s">
        <v>22</v>
      </c>
      <c r="D12" s="83"/>
      <c r="E12" s="24"/>
      <c r="F12" s="19">
        <v>24</v>
      </c>
      <c r="G12" s="20">
        <f t="shared" ref="G12:G20" si="2">SUM(F12-E12)</f>
        <v>24</v>
      </c>
      <c r="H12" s="92">
        <f>E12 / F12</f>
        <v>0</v>
      </c>
      <c r="I12" s="92">
        <f>G12 / F12</f>
        <v>1</v>
      </c>
      <c r="J12" s="27"/>
    </row>
    <row r="13" spans="1:14" ht="19.5" customHeight="1">
      <c r="B13" s="15" t="s">
        <v>23</v>
      </c>
      <c r="C13" s="82" t="s">
        <v>22</v>
      </c>
      <c r="D13" s="83"/>
      <c r="E13" s="18"/>
      <c r="F13" s="19">
        <v>24</v>
      </c>
      <c r="G13" s="20">
        <f t="shared" si="2"/>
        <v>24</v>
      </c>
      <c r="H13" s="92">
        <f>E13 / F13</f>
        <v>0</v>
      </c>
      <c r="I13" s="92">
        <f>G13 / F13</f>
        <v>1</v>
      </c>
      <c r="J13" s="27"/>
    </row>
    <row r="14" spans="1:14" ht="19.5" customHeight="1">
      <c r="B14" s="15" t="s">
        <v>24</v>
      </c>
      <c r="C14" s="16" t="s">
        <v>25</v>
      </c>
      <c r="D14" s="17" t="s">
        <v>26</v>
      </c>
      <c r="E14" s="24">
        <v>1.88</v>
      </c>
      <c r="F14" s="30">
        <v>35</v>
      </c>
      <c r="G14" s="20">
        <f t="shared" si="2"/>
        <v>33.119999999999997</v>
      </c>
      <c r="H14" s="92">
        <f>E14 / F14</f>
        <v>5.3714285714285714E-2</v>
      </c>
      <c r="I14" s="92">
        <f>G14 / F14</f>
        <v>0.94628571428571417</v>
      </c>
      <c r="J14" s="27"/>
      <c r="N14" s="31" t="s">
        <v>27</v>
      </c>
    </row>
    <row r="15" spans="1:14" ht="19.5" customHeight="1">
      <c r="A15" s="10"/>
      <c r="B15" s="21" t="s">
        <v>28</v>
      </c>
      <c r="C15" s="16" t="s">
        <v>9</v>
      </c>
      <c r="D15" s="17" t="s">
        <v>29</v>
      </c>
      <c r="E15" s="18">
        <v>20.03</v>
      </c>
      <c r="F15" s="19">
        <v>35</v>
      </c>
      <c r="G15" s="20">
        <f t="shared" si="2"/>
        <v>14.969999999999999</v>
      </c>
      <c r="H15" s="92">
        <f>E15 / F15</f>
        <v>0.57228571428571429</v>
      </c>
      <c r="I15" s="92">
        <f>G15 / F15</f>
        <v>0.42771428571428566</v>
      </c>
      <c r="J15" s="32"/>
      <c r="N15" s="33"/>
    </row>
    <row r="16" spans="1:14" ht="19.5" customHeight="1">
      <c r="B16" s="15" t="s">
        <v>30</v>
      </c>
      <c r="C16" s="34" t="s">
        <v>31</v>
      </c>
      <c r="D16" s="35" t="s">
        <v>32</v>
      </c>
      <c r="E16" s="24">
        <v>35.299999999999997</v>
      </c>
      <c r="F16" s="19">
        <v>70</v>
      </c>
      <c r="G16" s="20">
        <f t="shared" si="2"/>
        <v>34.700000000000003</v>
      </c>
      <c r="H16" s="92">
        <f>E16 / F16</f>
        <v>0.50428571428571423</v>
      </c>
      <c r="I16" s="92">
        <f>G16 / F16</f>
        <v>0.49571428571428577</v>
      </c>
      <c r="J16" s="36"/>
    </row>
    <row r="17" spans="1:11" ht="19.5" customHeight="1">
      <c r="B17" s="21" t="s">
        <v>33</v>
      </c>
      <c r="C17" s="16" t="s">
        <v>34</v>
      </c>
      <c r="D17" s="37" t="s">
        <v>35</v>
      </c>
      <c r="E17" s="24">
        <v>5.08</v>
      </c>
      <c r="F17" s="38">
        <v>17</v>
      </c>
      <c r="G17" s="20">
        <f t="shared" si="2"/>
        <v>11.92</v>
      </c>
      <c r="H17" s="92">
        <f>E17 / F17</f>
        <v>0.29882352941176471</v>
      </c>
      <c r="I17" s="92">
        <f>G17 / F17</f>
        <v>0.70117647058823529</v>
      </c>
      <c r="J17" s="39"/>
    </row>
    <row r="18" spans="1:11" ht="19.5" customHeight="1">
      <c r="B18" s="21" t="s">
        <v>36</v>
      </c>
      <c r="C18" s="16" t="s">
        <v>37</v>
      </c>
      <c r="D18" s="17"/>
      <c r="E18" s="24">
        <v>8.4499999999999993</v>
      </c>
      <c r="F18" s="38">
        <v>17</v>
      </c>
      <c r="G18" s="20">
        <f t="shared" si="2"/>
        <v>8.5500000000000007</v>
      </c>
      <c r="H18" s="92">
        <f>E18 / F18</f>
        <v>0.49705882352941172</v>
      </c>
      <c r="I18" s="92">
        <f>G18 / F18</f>
        <v>0.50294117647058822</v>
      </c>
      <c r="J18" s="22"/>
    </row>
    <row r="19" spans="1:11" ht="19.5" customHeight="1">
      <c r="B19" s="15" t="s">
        <v>38</v>
      </c>
      <c r="C19" s="28"/>
      <c r="D19" s="29"/>
      <c r="E19" s="24"/>
      <c r="F19" s="38">
        <v>8</v>
      </c>
      <c r="G19" s="20">
        <f t="shared" si="2"/>
        <v>8</v>
      </c>
      <c r="H19" s="92">
        <f>E19 / F19</f>
        <v>0</v>
      </c>
      <c r="I19" s="92">
        <f>G19 / F19</f>
        <v>1</v>
      </c>
    </row>
    <row r="20" spans="1:11" ht="19.5" customHeight="1">
      <c r="B20" s="15" t="s">
        <v>39</v>
      </c>
      <c r="C20" s="28" t="s">
        <v>20</v>
      </c>
      <c r="D20" s="29" t="s">
        <v>18</v>
      </c>
      <c r="E20" s="18">
        <v>17.95</v>
      </c>
      <c r="F20" s="30">
        <v>60</v>
      </c>
      <c r="G20" s="20">
        <f t="shared" si="2"/>
        <v>42.05</v>
      </c>
      <c r="H20" s="92">
        <f>E20 / F20</f>
        <v>0.29916666666666664</v>
      </c>
      <c r="I20" s="92">
        <f>G20 / F20</f>
        <v>0.70083333333333331</v>
      </c>
      <c r="J20" s="40"/>
    </row>
    <row r="21" spans="1:11" ht="19.5" customHeight="1">
      <c r="B21" s="21" t="s">
        <v>40</v>
      </c>
      <c r="C21" s="16" t="s">
        <v>34</v>
      </c>
      <c r="D21" s="29" t="s">
        <v>41</v>
      </c>
      <c r="E21" s="41">
        <v>35.36</v>
      </c>
      <c r="F21" s="42">
        <v>50</v>
      </c>
      <c r="G21" s="26">
        <f t="shared" ref="G21:G24" si="3">SUM(F21-(E21))</f>
        <v>14.64</v>
      </c>
      <c r="H21" s="92">
        <f>E21 / F21</f>
        <v>0.70719999999999994</v>
      </c>
      <c r="I21" s="92">
        <f>G21 / F21</f>
        <v>0.2928</v>
      </c>
    </row>
    <row r="22" spans="1:11" ht="19.5" customHeight="1">
      <c r="B22" s="15" t="s">
        <v>42</v>
      </c>
      <c r="C22" s="16" t="s">
        <v>34</v>
      </c>
      <c r="D22" s="29" t="s">
        <v>43</v>
      </c>
      <c r="E22" s="18">
        <v>71.27</v>
      </c>
      <c r="F22" s="30">
        <v>80</v>
      </c>
      <c r="G22" s="20">
        <f t="shared" si="3"/>
        <v>8.730000000000004</v>
      </c>
      <c r="H22" s="92">
        <f>E22 / F22</f>
        <v>0.89087499999999997</v>
      </c>
      <c r="I22" s="92">
        <f>G22 / F22</f>
        <v>0.10912500000000006</v>
      </c>
      <c r="J22" s="43"/>
    </row>
    <row r="23" spans="1:11" ht="19.5" customHeight="1">
      <c r="B23" s="15" t="s">
        <v>44</v>
      </c>
      <c r="C23" s="23" t="s">
        <v>45</v>
      </c>
      <c r="D23" s="17" t="s">
        <v>46</v>
      </c>
      <c r="E23" s="18">
        <v>63.14</v>
      </c>
      <c r="F23" s="30">
        <v>70</v>
      </c>
      <c r="G23" s="26">
        <f t="shared" si="3"/>
        <v>6.8599999999999994</v>
      </c>
      <c r="H23" s="92">
        <f>E23 / F23</f>
        <v>0.90200000000000002</v>
      </c>
      <c r="I23" s="92">
        <f>G23 / F23</f>
        <v>9.799999999999999E-2</v>
      </c>
    </row>
    <row r="24" spans="1:11" ht="19.5" customHeight="1">
      <c r="B24" s="21" t="s">
        <v>47</v>
      </c>
      <c r="C24" s="17" t="s">
        <v>48</v>
      </c>
      <c r="D24" s="29" t="s">
        <v>49</v>
      </c>
      <c r="E24" s="24">
        <v>20</v>
      </c>
      <c r="F24" s="38">
        <v>30</v>
      </c>
      <c r="G24" s="20">
        <f t="shared" si="3"/>
        <v>10</v>
      </c>
      <c r="H24" s="92">
        <f>E24 / F24</f>
        <v>0.66666666666666663</v>
      </c>
      <c r="I24" s="92">
        <f>G24 / F24</f>
        <v>0.33333333333333331</v>
      </c>
      <c r="J24" s="44"/>
    </row>
    <row r="25" spans="1:11" ht="19.5" customHeight="1">
      <c r="A25" s="10"/>
      <c r="B25" s="21" t="s">
        <v>50</v>
      </c>
      <c r="C25" s="16" t="s">
        <v>34</v>
      </c>
      <c r="D25" s="37" t="s">
        <v>51</v>
      </c>
      <c r="E25" s="45">
        <v>30</v>
      </c>
      <c r="F25" s="38">
        <v>30</v>
      </c>
      <c r="G25" s="20">
        <f t="shared" ref="G25:G27" si="4">SUM(F25-E25)</f>
        <v>0</v>
      </c>
      <c r="H25" s="92">
        <f>E25 / F25</f>
        <v>1</v>
      </c>
      <c r="I25" s="92">
        <f>G25 / F25</f>
        <v>0</v>
      </c>
    </row>
    <row r="26" spans="1:11" ht="19.5" customHeight="1">
      <c r="B26" s="15" t="s">
        <v>52</v>
      </c>
      <c r="C26" s="16"/>
      <c r="D26" s="29"/>
      <c r="E26" s="41"/>
      <c r="F26" s="38">
        <v>30</v>
      </c>
      <c r="G26" s="20">
        <f t="shared" si="4"/>
        <v>30</v>
      </c>
      <c r="H26" s="92">
        <f>E26 / F26</f>
        <v>0</v>
      </c>
      <c r="I26" s="92">
        <f>G26 / F26</f>
        <v>1</v>
      </c>
    </row>
    <row r="27" spans="1:11" ht="19.5" customHeight="1">
      <c r="A27" s="10"/>
      <c r="B27" s="15" t="s">
        <v>53</v>
      </c>
      <c r="C27" s="23" t="s">
        <v>34</v>
      </c>
      <c r="D27" s="29" t="s">
        <v>54</v>
      </c>
      <c r="E27" s="18">
        <v>73.47</v>
      </c>
      <c r="F27" s="42">
        <v>85</v>
      </c>
      <c r="G27" s="26">
        <f t="shared" si="4"/>
        <v>11.530000000000001</v>
      </c>
      <c r="H27" s="93">
        <f>E27 / F27</f>
        <v>0.86435294117647055</v>
      </c>
      <c r="I27" s="92">
        <f>G27 / F27</f>
        <v>0.13564705882352943</v>
      </c>
      <c r="J27" s="46"/>
    </row>
    <row r="28" spans="1:11" ht="19.5" customHeight="1">
      <c r="B28" s="21" t="s">
        <v>55</v>
      </c>
      <c r="C28" s="16" t="s">
        <v>56</v>
      </c>
      <c r="D28" s="47"/>
      <c r="E28" s="24"/>
      <c r="F28" s="38">
        <v>48</v>
      </c>
      <c r="G28" s="20">
        <f t="shared" ref="G28:G29" si="5">SUM(F28-(E28))</f>
        <v>48</v>
      </c>
      <c r="H28" s="92">
        <f>E28 / F28</f>
        <v>0</v>
      </c>
      <c r="I28" s="92">
        <f>G28 / F28</f>
        <v>1</v>
      </c>
    </row>
    <row r="29" spans="1:11" ht="19.5" customHeight="1">
      <c r="B29" s="15" t="s">
        <v>57</v>
      </c>
      <c r="C29" s="28" t="s">
        <v>58</v>
      </c>
      <c r="D29" s="28" t="s">
        <v>59</v>
      </c>
      <c r="E29" s="18">
        <v>48</v>
      </c>
      <c r="F29" s="30">
        <v>48</v>
      </c>
      <c r="G29" s="26">
        <f t="shared" si="5"/>
        <v>0</v>
      </c>
      <c r="H29" s="92">
        <f>E29 / F29</f>
        <v>1</v>
      </c>
      <c r="I29" s="92">
        <f>G29 / F29</f>
        <v>0</v>
      </c>
    </row>
    <row r="30" spans="1:11" ht="19.5" customHeight="1">
      <c r="B30" s="21" t="s">
        <v>60</v>
      </c>
      <c r="C30" s="48" t="s">
        <v>61</v>
      </c>
      <c r="D30" s="47"/>
      <c r="E30" s="24">
        <v>20</v>
      </c>
      <c r="F30" s="38">
        <v>20</v>
      </c>
      <c r="G30" s="26">
        <f t="shared" ref="G30:G31" si="6">SUM(F30-E30)</f>
        <v>0</v>
      </c>
      <c r="H30" s="92">
        <f>E30 / F30</f>
        <v>1</v>
      </c>
      <c r="I30" s="92">
        <f>G30 / F30</f>
        <v>0</v>
      </c>
    </row>
    <row r="31" spans="1:11" ht="19.5" customHeight="1">
      <c r="B31" s="21" t="s">
        <v>62</v>
      </c>
      <c r="C31" s="16" t="s">
        <v>14</v>
      </c>
      <c r="D31" s="23" t="s">
        <v>63</v>
      </c>
      <c r="E31" s="24">
        <v>20</v>
      </c>
      <c r="F31" s="38">
        <v>20</v>
      </c>
      <c r="G31" s="20">
        <f t="shared" si="6"/>
        <v>0</v>
      </c>
      <c r="H31" s="92">
        <f>E31 / F31</f>
        <v>1</v>
      </c>
      <c r="I31" s="92">
        <f>G31 / F31</f>
        <v>0</v>
      </c>
      <c r="J31" s="22"/>
      <c r="K31" s="44"/>
    </row>
    <row r="32" spans="1:11" ht="24" customHeight="1">
      <c r="B32" s="21" t="s">
        <v>64</v>
      </c>
      <c r="C32" s="16" t="s">
        <v>65</v>
      </c>
      <c r="D32" s="49" t="s">
        <v>66</v>
      </c>
      <c r="E32" s="24">
        <v>104.71</v>
      </c>
      <c r="F32" s="42">
        <v>105</v>
      </c>
      <c r="G32" s="26">
        <f t="shared" ref="G32:G41" si="7">SUM(F32-(E32))</f>
        <v>0.29000000000000625</v>
      </c>
      <c r="H32" s="93">
        <f>E32 / F32</f>
        <v>0.99723809523809515</v>
      </c>
      <c r="I32" s="92">
        <f>G32 / F32</f>
        <v>2.7619047619048213E-3</v>
      </c>
      <c r="J32" s="44"/>
    </row>
    <row r="33" spans="1:12" ht="24" customHeight="1">
      <c r="A33" s="10"/>
      <c r="B33" s="21" t="s">
        <v>67</v>
      </c>
      <c r="C33" s="34" t="s">
        <v>68</v>
      </c>
      <c r="D33" s="34" t="s">
        <v>69</v>
      </c>
      <c r="E33" s="18">
        <v>77.17</v>
      </c>
      <c r="F33" s="42">
        <v>105</v>
      </c>
      <c r="G33" s="26">
        <f t="shared" si="7"/>
        <v>27.83</v>
      </c>
      <c r="H33" s="93">
        <f>E33 / F33</f>
        <v>0.73495238095238102</v>
      </c>
      <c r="I33" s="92">
        <f>G33 / F33</f>
        <v>0.26504761904761903</v>
      </c>
      <c r="J33" s="50"/>
    </row>
    <row r="34" spans="1:12" ht="19.5" customHeight="1">
      <c r="B34" s="21" t="s">
        <v>70</v>
      </c>
      <c r="C34" s="23" t="s">
        <v>71</v>
      </c>
      <c r="D34" s="17"/>
      <c r="E34" s="24"/>
      <c r="F34" s="38">
        <v>20</v>
      </c>
      <c r="G34" s="26">
        <f t="shared" si="7"/>
        <v>20</v>
      </c>
      <c r="H34" s="92">
        <f>E34 / F34</f>
        <v>0</v>
      </c>
      <c r="I34" s="92">
        <f>G34 / F34</f>
        <v>1</v>
      </c>
      <c r="J34" s="50"/>
    </row>
    <row r="35" spans="1:12" ht="19.5" customHeight="1">
      <c r="A35" s="10"/>
      <c r="B35" s="15" t="s">
        <v>72</v>
      </c>
      <c r="C35" s="23" t="s">
        <v>65</v>
      </c>
      <c r="D35" s="17" t="s">
        <v>73</v>
      </c>
      <c r="E35" s="18">
        <v>33.72</v>
      </c>
      <c r="F35" s="42">
        <v>50</v>
      </c>
      <c r="G35" s="26">
        <f t="shared" si="7"/>
        <v>16.28</v>
      </c>
      <c r="H35" s="92">
        <f>E35 / F35</f>
        <v>0.6744</v>
      </c>
      <c r="I35" s="92">
        <f>G35 / F35</f>
        <v>0.3256</v>
      </c>
    </row>
    <row r="36" spans="1:12" ht="19.5" customHeight="1">
      <c r="B36" s="21" t="s">
        <v>74</v>
      </c>
      <c r="C36" s="16" t="s">
        <v>65</v>
      </c>
      <c r="D36" s="49" t="s">
        <v>75</v>
      </c>
      <c r="E36" s="18">
        <v>4.7699999999999996</v>
      </c>
      <c r="F36" s="30">
        <v>70</v>
      </c>
      <c r="G36" s="26">
        <f t="shared" si="7"/>
        <v>65.23</v>
      </c>
      <c r="H36" s="92">
        <f>E36 / F36</f>
        <v>6.814285714285713E-2</v>
      </c>
      <c r="I36" s="92">
        <f>G36 / F36</f>
        <v>0.93185714285714294</v>
      </c>
    </row>
    <row r="37" spans="1:12" ht="18" customHeight="1">
      <c r="B37" s="15" t="s">
        <v>76</v>
      </c>
      <c r="C37" s="16" t="s">
        <v>65</v>
      </c>
      <c r="D37" s="49" t="s">
        <v>77</v>
      </c>
      <c r="E37" s="18">
        <v>40.32</v>
      </c>
      <c r="F37" s="30">
        <v>70</v>
      </c>
      <c r="G37" s="26">
        <f t="shared" si="7"/>
        <v>29.68</v>
      </c>
      <c r="H37" s="92">
        <f>E37 / F37</f>
        <v>0.57599999999999996</v>
      </c>
      <c r="I37" s="92">
        <f>G37 / F37</f>
        <v>0.42399999999999999</v>
      </c>
      <c r="K37" s="44"/>
    </row>
    <row r="38" spans="1:12" ht="19.5" customHeight="1">
      <c r="B38" s="15" t="s">
        <v>78</v>
      </c>
      <c r="C38" s="16" t="s">
        <v>34</v>
      </c>
      <c r="D38" s="37" t="s">
        <v>35</v>
      </c>
      <c r="E38" s="18">
        <v>25</v>
      </c>
      <c r="F38" s="38">
        <v>25</v>
      </c>
      <c r="G38" s="26">
        <f t="shared" si="7"/>
        <v>0</v>
      </c>
      <c r="H38" s="92">
        <f>E38 / F38</f>
        <v>1</v>
      </c>
      <c r="I38" s="92">
        <f>G38 / F38</f>
        <v>0</v>
      </c>
      <c r="J38" s="27"/>
    </row>
    <row r="39" spans="1:12" ht="19.5" customHeight="1">
      <c r="B39" s="15" t="s">
        <v>79</v>
      </c>
      <c r="C39" s="16" t="s">
        <v>34</v>
      </c>
      <c r="D39" s="37" t="s">
        <v>35</v>
      </c>
      <c r="E39" s="18">
        <v>11.14</v>
      </c>
      <c r="F39" s="42">
        <v>25</v>
      </c>
      <c r="G39" s="26">
        <f t="shared" si="7"/>
        <v>13.86</v>
      </c>
      <c r="H39" s="92">
        <f>E39 / F39</f>
        <v>0.4456</v>
      </c>
      <c r="I39" s="92">
        <f>G39 / F39</f>
        <v>0.5544</v>
      </c>
    </row>
    <row r="40" spans="1:12" ht="19.5" customHeight="1">
      <c r="B40" s="15" t="s">
        <v>80</v>
      </c>
      <c r="C40" s="16" t="s">
        <v>81</v>
      </c>
      <c r="D40" s="49" t="s">
        <v>82</v>
      </c>
      <c r="E40" s="18">
        <v>42.74</v>
      </c>
      <c r="F40" s="38">
        <v>80</v>
      </c>
      <c r="G40" s="20">
        <f t="shared" si="7"/>
        <v>37.26</v>
      </c>
      <c r="H40" s="92">
        <f>E40 / F40</f>
        <v>0.53425</v>
      </c>
      <c r="I40" s="92">
        <f>G40 / F40</f>
        <v>0.46575</v>
      </c>
    </row>
    <row r="41" spans="1:12" ht="19.5" customHeight="1">
      <c r="B41" s="15" t="s">
        <v>83</v>
      </c>
      <c r="C41" s="16" t="s">
        <v>34</v>
      </c>
      <c r="D41" s="17" t="s">
        <v>84</v>
      </c>
      <c r="E41" s="24">
        <v>35.26</v>
      </c>
      <c r="F41" s="30">
        <v>80</v>
      </c>
      <c r="G41" s="20">
        <f t="shared" si="7"/>
        <v>44.74</v>
      </c>
      <c r="H41" s="92">
        <f>E41 / F41</f>
        <v>0.44074999999999998</v>
      </c>
      <c r="I41" s="92">
        <f>G41 / F41</f>
        <v>0.55925000000000002</v>
      </c>
    </row>
    <row r="42" spans="1:12" ht="18.75" customHeight="1">
      <c r="B42" s="21" t="s">
        <v>85</v>
      </c>
      <c r="C42" s="16" t="s">
        <v>34</v>
      </c>
      <c r="D42" s="17" t="s">
        <v>86</v>
      </c>
      <c r="E42" s="24">
        <v>70.92</v>
      </c>
      <c r="F42" s="30">
        <v>80</v>
      </c>
      <c r="G42" s="20">
        <f t="shared" ref="G42:G44" si="8">SUM(F42-E42)</f>
        <v>9.0799999999999983</v>
      </c>
      <c r="H42" s="92">
        <f>E42 / F42</f>
        <v>0.88650000000000007</v>
      </c>
      <c r="I42" s="92">
        <f>G42 / F42</f>
        <v>0.11349999999999998</v>
      </c>
    </row>
    <row r="43" spans="1:12" ht="19.5" customHeight="1">
      <c r="A43" s="51"/>
      <c r="B43" s="15" t="s">
        <v>87</v>
      </c>
      <c r="C43" s="16" t="s">
        <v>81</v>
      </c>
      <c r="D43" s="17" t="s">
        <v>88</v>
      </c>
      <c r="E43" s="18">
        <v>84.96</v>
      </c>
      <c r="F43" s="38">
        <v>85</v>
      </c>
      <c r="G43" s="20">
        <f t="shared" si="8"/>
        <v>4.0000000000006253E-2</v>
      </c>
      <c r="H43" s="92">
        <f>E43 / F43</f>
        <v>0.99952941176470578</v>
      </c>
      <c r="I43" s="92">
        <f>G43 / F43</f>
        <v>4.7058823529419122E-4</v>
      </c>
    </row>
    <row r="44" spans="1:12" ht="18.75" customHeight="1">
      <c r="B44" s="15" t="s">
        <v>89</v>
      </c>
      <c r="C44" s="16" t="s">
        <v>90</v>
      </c>
      <c r="D44" s="17" t="s">
        <v>91</v>
      </c>
      <c r="E44" s="18">
        <v>59.94</v>
      </c>
      <c r="F44" s="38">
        <v>80</v>
      </c>
      <c r="G44" s="20">
        <f t="shared" si="8"/>
        <v>20.060000000000002</v>
      </c>
      <c r="H44" s="92">
        <f>E44 / F44</f>
        <v>0.74924999999999997</v>
      </c>
      <c r="I44" s="92">
        <f>G44 / F44</f>
        <v>0.25075000000000003</v>
      </c>
    </row>
    <row r="45" spans="1:12" ht="19.5" customHeight="1">
      <c r="A45" s="10"/>
      <c r="B45" s="15" t="s">
        <v>92</v>
      </c>
      <c r="C45" s="16" t="s">
        <v>34</v>
      </c>
      <c r="D45" s="29" t="s">
        <v>93</v>
      </c>
      <c r="E45" s="18">
        <v>71.010000000000005</v>
      </c>
      <c r="F45" s="30">
        <v>80</v>
      </c>
      <c r="G45" s="20">
        <f t="shared" ref="G45:G46" si="9">SUM(F45)-(E45)</f>
        <v>8.9899999999999949</v>
      </c>
      <c r="H45" s="92">
        <f>E45 / F45</f>
        <v>0.88762500000000011</v>
      </c>
      <c r="I45" s="92">
        <f>G45 / F45</f>
        <v>0.11237499999999993</v>
      </c>
      <c r="J45" s="52"/>
      <c r="L45" s="53"/>
    </row>
    <row r="46" spans="1:12" ht="19.5" customHeight="1">
      <c r="B46" s="15" t="s">
        <v>94</v>
      </c>
      <c r="C46" s="16" t="s">
        <v>34</v>
      </c>
      <c r="D46" s="29" t="s">
        <v>95</v>
      </c>
      <c r="E46" s="18">
        <v>64.56</v>
      </c>
      <c r="F46" s="38">
        <v>80</v>
      </c>
      <c r="G46" s="20">
        <f t="shared" si="9"/>
        <v>15.439999999999998</v>
      </c>
      <c r="H46" s="92">
        <f>E46 / F46</f>
        <v>0.80700000000000005</v>
      </c>
      <c r="I46" s="92">
        <f>G46 / F46</f>
        <v>0.19299999999999998</v>
      </c>
      <c r="J46" s="43"/>
    </row>
    <row r="47" spans="1:12" ht="19.5" customHeight="1">
      <c r="B47" s="21" t="s">
        <v>96</v>
      </c>
      <c r="C47" s="34" t="s">
        <v>17</v>
      </c>
      <c r="D47" s="17" t="s">
        <v>18</v>
      </c>
      <c r="E47" s="24">
        <v>20.66</v>
      </c>
      <c r="F47" s="42">
        <v>80</v>
      </c>
      <c r="G47" s="26">
        <f>F47-(E47)</f>
        <v>59.34</v>
      </c>
      <c r="H47" s="92">
        <f>E47 / F47</f>
        <v>0.25824999999999998</v>
      </c>
      <c r="I47" s="92">
        <f>G47 / F47</f>
        <v>0.74175000000000002</v>
      </c>
    </row>
    <row r="48" spans="1:12" ht="19.5" customHeight="1">
      <c r="A48" s="10"/>
      <c r="B48" s="15" t="s">
        <v>97</v>
      </c>
      <c r="C48" s="23" t="s">
        <v>98</v>
      </c>
      <c r="D48" s="29" t="s">
        <v>99</v>
      </c>
      <c r="E48" s="18">
        <v>10.26</v>
      </c>
      <c r="F48" s="30">
        <v>80</v>
      </c>
      <c r="G48" s="20">
        <f t="shared" ref="G48:G53" si="10">SUM(F48-(E48))</f>
        <v>69.739999999999995</v>
      </c>
      <c r="H48" s="92">
        <f>E48 / F48</f>
        <v>0.12825</v>
      </c>
      <c r="I48" s="92">
        <f>G48 / F48</f>
        <v>0.87174999999999991</v>
      </c>
      <c r="J48" s="54"/>
    </row>
    <row r="49" spans="1:10" ht="19.5" customHeight="1">
      <c r="B49" s="15" t="s">
        <v>100</v>
      </c>
      <c r="C49" s="23" t="s">
        <v>101</v>
      </c>
      <c r="D49" s="17"/>
      <c r="E49" s="18"/>
      <c r="F49" s="30">
        <v>80</v>
      </c>
      <c r="G49" s="26">
        <f t="shared" si="10"/>
        <v>80</v>
      </c>
      <c r="H49" s="93">
        <f>E49 / F49</f>
        <v>0</v>
      </c>
      <c r="I49" s="92">
        <f>G49 / F49</f>
        <v>1</v>
      </c>
      <c r="J49" s="54"/>
    </row>
    <row r="50" spans="1:10" ht="19.5" customHeight="1">
      <c r="B50" s="15" t="s">
        <v>102</v>
      </c>
      <c r="C50" s="23" t="s">
        <v>103</v>
      </c>
      <c r="D50" s="34" t="s">
        <v>104</v>
      </c>
      <c r="E50" s="45">
        <v>27.68</v>
      </c>
      <c r="F50" s="30">
        <v>85</v>
      </c>
      <c r="G50" s="20">
        <f t="shared" si="10"/>
        <v>57.32</v>
      </c>
      <c r="H50" s="92">
        <f>E50 / F50</f>
        <v>0.3256470588235294</v>
      </c>
      <c r="I50" s="92">
        <f>G50 / F50</f>
        <v>0.6743529411764706</v>
      </c>
    </row>
    <row r="51" spans="1:10" ht="19.5" customHeight="1">
      <c r="B51" s="21" t="s">
        <v>105</v>
      </c>
      <c r="C51" s="34" t="s">
        <v>34</v>
      </c>
      <c r="D51" s="47" t="s">
        <v>106</v>
      </c>
      <c r="E51" s="24">
        <v>34.630000000000003</v>
      </c>
      <c r="F51" s="38">
        <v>50</v>
      </c>
      <c r="G51" s="55">
        <f t="shared" si="10"/>
        <v>15.369999999999997</v>
      </c>
      <c r="H51" s="92">
        <f>E51 / F51</f>
        <v>0.6926000000000001</v>
      </c>
      <c r="I51" s="92">
        <f>G51 / F51</f>
        <v>0.30739999999999995</v>
      </c>
    </row>
    <row r="52" spans="1:10" ht="19.5" customHeight="1">
      <c r="A52" s="10"/>
      <c r="B52" s="21" t="s">
        <v>107</v>
      </c>
      <c r="C52" s="23" t="s">
        <v>34</v>
      </c>
      <c r="D52" s="29" t="s">
        <v>108</v>
      </c>
      <c r="E52" s="24">
        <v>144.34</v>
      </c>
      <c r="F52" s="42">
        <v>160</v>
      </c>
      <c r="G52" s="55">
        <f t="shared" si="10"/>
        <v>15.659999999999997</v>
      </c>
      <c r="H52" s="93">
        <f>E52 / F52</f>
        <v>0.90212500000000007</v>
      </c>
      <c r="I52" s="93">
        <f>G52 / F52</f>
        <v>9.7874999999999976E-2</v>
      </c>
    </row>
    <row r="53" spans="1:10" ht="19.5" customHeight="1">
      <c r="A53" s="10"/>
      <c r="B53" s="56" t="s">
        <v>109</v>
      </c>
      <c r="C53" s="23" t="s">
        <v>110</v>
      </c>
      <c r="D53" s="29" t="s">
        <v>111</v>
      </c>
      <c r="E53" s="24">
        <v>64.932000000000002</v>
      </c>
      <c r="F53" s="42">
        <v>160</v>
      </c>
      <c r="G53" s="57">
        <f t="shared" si="10"/>
        <v>95.067999999999998</v>
      </c>
      <c r="H53" s="93">
        <f>E53 / F53</f>
        <v>0.40582499999999999</v>
      </c>
      <c r="I53" s="93">
        <f>G53 / F53</f>
        <v>0.59417500000000001</v>
      </c>
    </row>
    <row r="54" spans="1:10" ht="19.5" customHeight="1">
      <c r="B54" s="21" t="s">
        <v>112</v>
      </c>
      <c r="C54" s="34" t="s">
        <v>113</v>
      </c>
      <c r="D54" s="17" t="s">
        <v>114</v>
      </c>
      <c r="E54" s="24">
        <v>60.33</v>
      </c>
      <c r="F54" s="38">
        <v>60</v>
      </c>
      <c r="G54" s="58">
        <f t="shared" ref="G54:G69" si="11">SUM(F54)-(E54)</f>
        <v>-0.32999999999999829</v>
      </c>
      <c r="H54" s="92">
        <f>E54 / F54</f>
        <v>1.0055000000000001</v>
      </c>
      <c r="I54" s="92">
        <f>G54 / F54</f>
        <v>-5.4999999999999719E-3</v>
      </c>
    </row>
    <row r="55" spans="1:10" ht="19.5" customHeight="1">
      <c r="B55" s="15" t="s">
        <v>115</v>
      </c>
      <c r="C55" s="16" t="s">
        <v>116</v>
      </c>
      <c r="D55" s="17"/>
      <c r="E55" s="41"/>
      <c r="F55" s="38">
        <v>60</v>
      </c>
      <c r="G55" s="58">
        <f t="shared" si="11"/>
        <v>60</v>
      </c>
      <c r="H55" s="92">
        <f>E55 / F55</f>
        <v>0</v>
      </c>
      <c r="I55" s="92">
        <f>G55 / F55</f>
        <v>1</v>
      </c>
    </row>
    <row r="56" spans="1:10" ht="19.5" customHeight="1">
      <c r="B56" s="15" t="s">
        <v>117</v>
      </c>
      <c r="C56" s="59"/>
      <c r="D56" s="17"/>
      <c r="E56" s="45"/>
      <c r="F56" s="38">
        <v>60</v>
      </c>
      <c r="G56" s="58">
        <f t="shared" si="11"/>
        <v>60</v>
      </c>
      <c r="H56" s="92">
        <f>E56 / F56</f>
        <v>0</v>
      </c>
      <c r="I56" s="92">
        <f>G56 / F56</f>
        <v>1</v>
      </c>
      <c r="J56" s="84" t="s">
        <v>118</v>
      </c>
    </row>
    <row r="57" spans="1:10" ht="19.5" customHeight="1">
      <c r="B57" s="15" t="s">
        <v>119</v>
      </c>
      <c r="C57" s="29" t="s">
        <v>34</v>
      </c>
      <c r="D57" s="17" t="s">
        <v>120</v>
      </c>
      <c r="E57" s="18">
        <v>34.4</v>
      </c>
      <c r="F57" s="38">
        <v>60</v>
      </c>
      <c r="G57" s="58">
        <f t="shared" si="11"/>
        <v>25.6</v>
      </c>
      <c r="H57" s="92">
        <f>E57 / F57</f>
        <v>0.57333333333333336</v>
      </c>
      <c r="I57" s="92">
        <f>G57 / F57</f>
        <v>0.42666666666666669</v>
      </c>
      <c r="J57" s="85"/>
    </row>
    <row r="58" spans="1:10" ht="19.5" customHeight="1">
      <c r="B58" s="15" t="s">
        <v>121</v>
      </c>
      <c r="C58" s="23" t="s">
        <v>14</v>
      </c>
      <c r="D58" s="23" t="s">
        <v>63</v>
      </c>
      <c r="E58" s="18">
        <v>27.7</v>
      </c>
      <c r="F58" s="38">
        <v>30</v>
      </c>
      <c r="G58" s="58">
        <f t="shared" si="11"/>
        <v>2.3000000000000007</v>
      </c>
      <c r="H58" s="92">
        <f>E58 / F58</f>
        <v>0.92333333333333334</v>
      </c>
      <c r="I58" s="92">
        <f>G58 / F58</f>
        <v>7.6666666666666689E-2</v>
      </c>
      <c r="J58" s="85"/>
    </row>
    <row r="59" spans="1:10" ht="19.5" customHeight="1">
      <c r="B59" s="15" t="s">
        <v>122</v>
      </c>
      <c r="C59" s="29" t="s">
        <v>31</v>
      </c>
      <c r="D59" s="17" t="s">
        <v>32</v>
      </c>
      <c r="E59" s="18">
        <v>31.3</v>
      </c>
      <c r="F59" s="38">
        <v>30</v>
      </c>
      <c r="G59" s="58">
        <f t="shared" si="11"/>
        <v>-1.3000000000000007</v>
      </c>
      <c r="H59" s="92">
        <f>E59 / F59</f>
        <v>1.0433333333333334</v>
      </c>
      <c r="I59" s="92">
        <f>G59 / F59</f>
        <v>-4.3333333333333356E-2</v>
      </c>
      <c r="J59" s="85"/>
    </row>
    <row r="60" spans="1:10" ht="19.5" customHeight="1">
      <c r="B60" s="15" t="s">
        <v>123</v>
      </c>
      <c r="C60" s="59"/>
      <c r="D60" s="17"/>
      <c r="E60" s="41"/>
      <c r="F60" s="38">
        <v>20</v>
      </c>
      <c r="G60" s="58">
        <f t="shared" si="11"/>
        <v>20</v>
      </c>
      <c r="H60" s="92">
        <f>E60 / F60</f>
        <v>0</v>
      </c>
      <c r="I60" s="92">
        <f>G60 / F60</f>
        <v>1</v>
      </c>
      <c r="J60" s="85"/>
    </row>
    <row r="61" spans="1:10" ht="19.5" customHeight="1">
      <c r="B61" s="15" t="s">
        <v>124</v>
      </c>
      <c r="C61" s="59"/>
      <c r="D61" s="17"/>
      <c r="E61" s="41"/>
      <c r="F61" s="38">
        <v>20</v>
      </c>
      <c r="G61" s="58">
        <f t="shared" si="11"/>
        <v>20</v>
      </c>
      <c r="H61" s="92">
        <f>E61 / F61</f>
        <v>0</v>
      </c>
      <c r="I61" s="92">
        <f>G61 / F61</f>
        <v>1</v>
      </c>
      <c r="J61" s="85"/>
    </row>
    <row r="62" spans="1:10" ht="19.5" customHeight="1">
      <c r="B62" s="15" t="s">
        <v>125</v>
      </c>
      <c r="C62" s="29" t="s">
        <v>34</v>
      </c>
      <c r="D62" s="29" t="s">
        <v>106</v>
      </c>
      <c r="E62" s="18">
        <v>37.28</v>
      </c>
      <c r="F62" s="38">
        <v>50</v>
      </c>
      <c r="G62" s="58">
        <f t="shared" si="11"/>
        <v>12.719999999999999</v>
      </c>
      <c r="H62" s="92">
        <f>E62 / F62</f>
        <v>0.74560000000000004</v>
      </c>
      <c r="I62" s="92">
        <f>G62 / F62</f>
        <v>0.25439999999999996</v>
      </c>
      <c r="J62" s="85"/>
    </row>
    <row r="63" spans="1:10" ht="19.5" customHeight="1">
      <c r="B63" s="15" t="s">
        <v>126</v>
      </c>
      <c r="C63" s="59"/>
      <c r="D63" s="17"/>
      <c r="E63" s="45"/>
      <c r="F63" s="38">
        <v>120</v>
      </c>
      <c r="G63" s="58">
        <f t="shared" si="11"/>
        <v>120</v>
      </c>
      <c r="H63" s="92">
        <f>E63 / F63</f>
        <v>0</v>
      </c>
      <c r="I63" s="93">
        <f>G63 / F63</f>
        <v>1</v>
      </c>
      <c r="J63" s="85"/>
    </row>
    <row r="64" spans="1:10" ht="19.5" customHeight="1">
      <c r="B64" s="15" t="s">
        <v>127</v>
      </c>
      <c r="C64" s="59"/>
      <c r="D64" s="17"/>
      <c r="E64" s="45"/>
      <c r="F64" s="38">
        <v>120</v>
      </c>
      <c r="G64" s="58">
        <f t="shared" si="11"/>
        <v>120</v>
      </c>
      <c r="H64" s="92">
        <f>E64 / F64</f>
        <v>0</v>
      </c>
      <c r="I64" s="93">
        <f>G64 / F64</f>
        <v>1</v>
      </c>
      <c r="J64" s="85"/>
    </row>
    <row r="65" spans="2:16" ht="19.5" customHeight="1">
      <c r="B65" s="15" t="s">
        <v>128</v>
      </c>
      <c r="C65" s="59"/>
      <c r="D65" s="17"/>
      <c r="E65" s="45"/>
      <c r="F65" s="38">
        <v>120</v>
      </c>
      <c r="G65" s="58">
        <f t="shared" si="11"/>
        <v>120</v>
      </c>
      <c r="H65" s="92">
        <f>E65 / F65</f>
        <v>0</v>
      </c>
      <c r="I65" s="93">
        <f>G65 / F65</f>
        <v>1</v>
      </c>
      <c r="J65" s="85"/>
    </row>
    <row r="66" spans="2:16" ht="19.5" customHeight="1">
      <c r="B66" s="15" t="s">
        <v>129</v>
      </c>
      <c r="C66" s="59"/>
      <c r="D66" s="17"/>
      <c r="E66" s="45"/>
      <c r="F66" s="38">
        <v>120</v>
      </c>
      <c r="G66" s="58">
        <f t="shared" si="11"/>
        <v>120</v>
      </c>
      <c r="H66" s="92">
        <f>E66 / F66</f>
        <v>0</v>
      </c>
      <c r="I66" s="93">
        <f>G66 / F66</f>
        <v>1</v>
      </c>
      <c r="J66" s="85"/>
    </row>
    <row r="67" spans="2:16" ht="19.5" customHeight="1">
      <c r="B67" s="15" t="s">
        <v>130</v>
      </c>
      <c r="C67" s="59"/>
      <c r="D67" s="17"/>
      <c r="E67" s="45"/>
      <c r="F67" s="38">
        <v>120</v>
      </c>
      <c r="G67" s="58">
        <f t="shared" si="11"/>
        <v>120</v>
      </c>
      <c r="H67" s="92">
        <f>E67 / F67</f>
        <v>0</v>
      </c>
      <c r="I67" s="93">
        <f>G67 / F67</f>
        <v>1</v>
      </c>
      <c r="J67" s="85"/>
    </row>
    <row r="68" spans="2:16" ht="19.5" customHeight="1">
      <c r="B68" s="15" t="s">
        <v>131</v>
      </c>
      <c r="C68" s="23" t="s">
        <v>68</v>
      </c>
      <c r="D68" s="17" t="s">
        <v>132</v>
      </c>
      <c r="E68" s="45">
        <v>95</v>
      </c>
      <c r="F68" s="38">
        <v>120</v>
      </c>
      <c r="G68" s="58">
        <f t="shared" si="11"/>
        <v>25</v>
      </c>
      <c r="H68" s="92">
        <f>E68 / F68</f>
        <v>0.79166666666666663</v>
      </c>
      <c r="I68" s="93">
        <f>G68 / F68</f>
        <v>0.20833333333333334</v>
      </c>
      <c r="J68" s="85"/>
    </row>
    <row r="69" spans="2:16" ht="19.5" customHeight="1">
      <c r="B69" s="15" t="s">
        <v>133</v>
      </c>
      <c r="C69" s="59"/>
      <c r="D69" s="17"/>
      <c r="E69" s="45"/>
      <c r="F69" s="38">
        <v>120</v>
      </c>
      <c r="G69" s="58">
        <f t="shared" si="11"/>
        <v>120</v>
      </c>
      <c r="H69" s="92">
        <f>E69 / F69</f>
        <v>0</v>
      </c>
      <c r="I69" s="93">
        <f>G69 / F69</f>
        <v>1</v>
      </c>
      <c r="J69" s="86"/>
    </row>
    <row r="70" spans="2:16" ht="19.5" customHeight="1">
      <c r="B70" s="15" t="s">
        <v>134</v>
      </c>
      <c r="C70" s="23" t="s">
        <v>68</v>
      </c>
      <c r="D70" s="17" t="s">
        <v>135</v>
      </c>
      <c r="E70" s="45">
        <v>19.77</v>
      </c>
      <c r="F70" s="38">
        <v>28</v>
      </c>
      <c r="G70" s="60">
        <f>SUM(F70-E70)</f>
        <v>8.23</v>
      </c>
      <c r="H70" s="92">
        <f>E70 / F70</f>
        <v>0.70607142857142857</v>
      </c>
      <c r="I70" s="92">
        <f>G70 / F70</f>
        <v>0.29392857142857143</v>
      </c>
    </row>
    <row r="71" spans="2:16" ht="23.25" customHeight="1">
      <c r="B71" s="61"/>
      <c r="C71" s="62"/>
      <c r="D71" s="63"/>
      <c r="E71" s="64">
        <f t="shared" ref="E71:G71" si="12">SUM(E7:E70)</f>
        <v>1916.4720000000002</v>
      </c>
      <c r="F71" s="65">
        <f t="shared" si="12"/>
        <v>3959</v>
      </c>
      <c r="G71" s="66">
        <f t="shared" si="12"/>
        <v>2042.528</v>
      </c>
      <c r="H71" s="62"/>
      <c r="I71" s="67"/>
      <c r="K71" s="68"/>
      <c r="M71" s="69"/>
      <c r="N71" s="70"/>
      <c r="P71" s="68"/>
    </row>
    <row r="72" spans="2:16" ht="15.75" customHeight="1">
      <c r="B72" s="71"/>
      <c r="C72" s="71"/>
      <c r="D72" s="71"/>
      <c r="E72" s="72"/>
      <c r="F72" s="73"/>
      <c r="G72" s="74"/>
      <c r="H72" s="67"/>
      <c r="I72" s="67"/>
      <c r="J72" s="10"/>
    </row>
    <row r="73" spans="2:16" ht="15.75" customHeight="1">
      <c r="B73" s="71"/>
      <c r="C73" s="71"/>
      <c r="D73" s="71"/>
      <c r="E73" s="72"/>
      <c r="F73" s="73"/>
      <c r="G73" s="74"/>
      <c r="H73" s="67"/>
      <c r="I73" s="67"/>
      <c r="J73" s="10"/>
    </row>
    <row r="74" spans="2:16" ht="15.75" customHeight="1">
      <c r="B74" s="75"/>
      <c r="C74" s="71"/>
      <c r="D74" s="71"/>
      <c r="E74" s="72"/>
      <c r="F74" s="72"/>
      <c r="G74" s="74"/>
      <c r="H74" s="87"/>
      <c r="I74" s="81"/>
      <c r="J74" s="10"/>
    </row>
    <row r="75" spans="2:16" ht="15.75" customHeight="1">
      <c r="B75" s="71"/>
      <c r="C75" s="71"/>
      <c r="D75" s="71"/>
      <c r="E75" s="72"/>
      <c r="F75" s="73"/>
      <c r="G75" s="74"/>
      <c r="H75" s="81"/>
      <c r="I75" s="81"/>
      <c r="J75" s="10"/>
    </row>
    <row r="76" spans="2:16" ht="15.75" customHeight="1">
      <c r="B76" s="71"/>
      <c r="C76" s="71"/>
      <c r="D76" s="71"/>
      <c r="E76" s="72"/>
      <c r="F76" s="73"/>
      <c r="G76" s="74"/>
      <c r="H76" s="67"/>
      <c r="I76" s="67"/>
      <c r="J76" s="10"/>
    </row>
    <row r="77" spans="2:16" ht="15.75" customHeight="1">
      <c r="B77" s="75"/>
      <c r="C77" s="71"/>
      <c r="D77" s="71"/>
      <c r="E77" s="72"/>
      <c r="F77" s="73"/>
      <c r="G77" s="74"/>
      <c r="H77" s="88"/>
      <c r="I77" s="81"/>
      <c r="J77" s="10"/>
    </row>
    <row r="78" spans="2:16" ht="15.75" customHeight="1">
      <c r="B78" s="89"/>
      <c r="C78" s="71"/>
      <c r="D78" s="71"/>
      <c r="E78" s="72"/>
      <c r="F78" s="80"/>
      <c r="G78" s="76"/>
      <c r="H78" s="81"/>
      <c r="I78" s="81"/>
      <c r="J78" s="10"/>
    </row>
    <row r="79" spans="2:16" ht="15.75" customHeight="1">
      <c r="B79" s="81"/>
      <c r="C79" s="71"/>
      <c r="D79" s="71"/>
      <c r="E79" s="72"/>
      <c r="F79" s="81"/>
      <c r="G79" s="74"/>
      <c r="H79" s="81"/>
      <c r="I79" s="81"/>
      <c r="J79" s="10"/>
    </row>
    <row r="80" spans="2:16" ht="15.75" customHeight="1">
      <c r="B80" s="81"/>
      <c r="C80" s="71"/>
      <c r="D80" s="71"/>
      <c r="E80" s="72"/>
      <c r="F80" s="81"/>
      <c r="G80" s="74"/>
      <c r="H80" s="81"/>
      <c r="I80" s="81"/>
      <c r="J80" s="10"/>
    </row>
    <row r="81" spans="2:26" ht="15.75" customHeight="1">
      <c r="B81" s="89"/>
      <c r="C81" s="71"/>
      <c r="D81" s="71"/>
      <c r="E81" s="72"/>
      <c r="F81" s="80"/>
      <c r="G81" s="74"/>
      <c r="H81" s="81"/>
      <c r="I81" s="81"/>
      <c r="J81" s="10"/>
    </row>
    <row r="82" spans="2:26" ht="15.75" customHeight="1">
      <c r="B82" s="81"/>
      <c r="C82" s="71"/>
      <c r="D82" s="71"/>
      <c r="E82" s="72"/>
      <c r="F82" s="81"/>
      <c r="G82" s="74"/>
      <c r="H82" s="81"/>
      <c r="I82" s="81"/>
      <c r="J82" s="10"/>
    </row>
    <row r="83" spans="2:26" ht="15.75" customHeight="1">
      <c r="B83" s="71"/>
      <c r="C83" s="71"/>
      <c r="D83" s="71"/>
      <c r="E83" s="72"/>
      <c r="F83" s="73"/>
      <c r="G83" s="74"/>
      <c r="H83" s="67"/>
      <c r="I83" s="67"/>
    </row>
    <row r="84" spans="2:26" ht="15.75" customHeight="1">
      <c r="B84" s="71"/>
      <c r="C84" s="77"/>
      <c r="D84" s="78"/>
      <c r="E84" s="72"/>
      <c r="F84" s="73"/>
      <c r="G84" s="74"/>
      <c r="H84" s="67"/>
      <c r="I84" s="67"/>
    </row>
    <row r="85" spans="2:26" ht="15.75" customHeight="1">
      <c r="B85" s="71"/>
      <c r="C85" s="71"/>
      <c r="D85" s="71"/>
      <c r="E85" s="72"/>
      <c r="F85" s="73"/>
      <c r="G85" s="74"/>
      <c r="H85" s="67"/>
      <c r="I85" s="67"/>
    </row>
    <row r="86" spans="2:26" ht="19.5" customHeight="1">
      <c r="B86" s="3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2:26" ht="15.75" customHeight="1">
      <c r="B87" s="3"/>
    </row>
    <row r="88" spans="2:26" ht="15.75" customHeight="1">
      <c r="C88" s="1"/>
      <c r="D88" s="1"/>
      <c r="E88" s="2"/>
      <c r="G88" s="3"/>
    </row>
    <row r="89" spans="2:26" ht="15.75" customHeight="1">
      <c r="C89" s="1"/>
      <c r="D89" s="1"/>
      <c r="E89" s="2"/>
      <c r="G89" s="3"/>
    </row>
    <row r="90" spans="2:26" ht="15.75" customHeight="1">
      <c r="C90" s="1"/>
      <c r="D90" s="1"/>
      <c r="E90" s="2"/>
      <c r="G90" s="3"/>
    </row>
    <row r="91" spans="2:26" ht="15.75" customHeight="1">
      <c r="C91" s="1"/>
      <c r="D91" s="1"/>
      <c r="E91" s="2"/>
      <c r="G91" s="3"/>
    </row>
    <row r="92" spans="2:26" ht="15.75" customHeight="1">
      <c r="C92" s="1"/>
      <c r="D92" s="1"/>
      <c r="E92" s="2"/>
      <c r="G92" s="3"/>
    </row>
    <row r="93" spans="2:26" ht="15.75" customHeight="1">
      <c r="C93" s="1"/>
      <c r="D93" s="1"/>
      <c r="E93" s="2"/>
      <c r="G93" s="3"/>
    </row>
    <row r="94" spans="2:26" ht="15.75" customHeight="1">
      <c r="C94" s="1"/>
      <c r="D94" s="1"/>
      <c r="E94" s="2"/>
      <c r="G94" s="3"/>
    </row>
    <row r="95" spans="2:26" ht="15.75" customHeight="1">
      <c r="C95" s="1"/>
      <c r="D95" s="1"/>
      <c r="E95" s="2"/>
      <c r="G95" s="3"/>
    </row>
    <row r="96" spans="2:26" ht="15.75" customHeight="1">
      <c r="C96" s="1"/>
      <c r="D96" s="1"/>
      <c r="E96" s="2"/>
      <c r="G96" s="3"/>
    </row>
    <row r="97" spans="3:7" ht="15.75" customHeight="1">
      <c r="C97" s="1"/>
      <c r="D97" s="1"/>
      <c r="E97" s="2"/>
      <c r="G97" s="3"/>
    </row>
    <row r="98" spans="3:7" ht="15.75" customHeight="1">
      <c r="C98" s="1"/>
      <c r="D98" s="1"/>
      <c r="E98" s="2"/>
      <c r="G98" s="3"/>
    </row>
    <row r="99" spans="3:7" ht="15.75" customHeight="1">
      <c r="C99" s="1"/>
      <c r="D99" s="1"/>
      <c r="E99" s="2"/>
      <c r="G99" s="3"/>
    </row>
    <row r="100" spans="3:7" ht="15.75" customHeight="1">
      <c r="C100" s="1"/>
      <c r="D100" s="1"/>
      <c r="E100" s="2"/>
      <c r="G100" s="3"/>
    </row>
    <row r="101" spans="3:7" ht="15.75" customHeight="1">
      <c r="C101" s="1"/>
      <c r="D101" s="1"/>
      <c r="E101" s="2"/>
      <c r="G101" s="3"/>
    </row>
    <row r="102" spans="3:7" ht="15.75" customHeight="1">
      <c r="C102" s="1"/>
      <c r="D102" s="1"/>
      <c r="E102" s="2"/>
      <c r="G102" s="3"/>
    </row>
    <row r="103" spans="3:7" ht="15.75" customHeight="1">
      <c r="C103" s="1"/>
      <c r="D103" s="1"/>
      <c r="E103" s="2"/>
      <c r="G103" s="3"/>
    </row>
    <row r="104" spans="3:7" ht="15.75" customHeight="1">
      <c r="C104" s="1"/>
      <c r="D104" s="1"/>
      <c r="E104" s="2"/>
      <c r="G104" s="3"/>
    </row>
    <row r="105" spans="3:7" ht="15.75" customHeight="1">
      <c r="C105" s="1"/>
      <c r="D105" s="1"/>
      <c r="E105" s="2"/>
      <c r="G105" s="3"/>
    </row>
    <row r="106" spans="3:7" ht="15.75" customHeight="1">
      <c r="C106" s="1"/>
      <c r="D106" s="1"/>
      <c r="E106" s="2"/>
      <c r="G106" s="3"/>
    </row>
    <row r="107" spans="3:7" ht="15.75" customHeight="1">
      <c r="C107" s="1"/>
      <c r="D107" s="1"/>
      <c r="E107" s="2"/>
      <c r="G107" s="3"/>
    </row>
    <row r="108" spans="3:7" ht="15.75" customHeight="1">
      <c r="C108" s="1"/>
      <c r="D108" s="1"/>
      <c r="E108" s="2"/>
      <c r="G108" s="3"/>
    </row>
    <row r="109" spans="3:7" ht="15.75" customHeight="1">
      <c r="C109" s="1"/>
      <c r="D109" s="1"/>
      <c r="E109" s="2"/>
      <c r="G109" s="3"/>
    </row>
    <row r="110" spans="3:7" ht="15.75" customHeight="1">
      <c r="C110" s="1"/>
      <c r="D110" s="1"/>
      <c r="E110" s="2"/>
      <c r="G110" s="3"/>
    </row>
    <row r="111" spans="3:7" ht="15.75" customHeight="1">
      <c r="C111" s="1"/>
      <c r="D111" s="1"/>
      <c r="E111" s="2"/>
      <c r="G111" s="3"/>
    </row>
    <row r="112" spans="3:7" ht="15.75" customHeight="1">
      <c r="C112" s="1"/>
      <c r="D112" s="1"/>
      <c r="E112" s="2"/>
      <c r="G112" s="3"/>
    </row>
    <row r="113" spans="3:7" ht="15.75" customHeight="1">
      <c r="C113" s="1"/>
      <c r="D113" s="1"/>
      <c r="E113" s="2"/>
      <c r="G113" s="3"/>
    </row>
    <row r="114" spans="3:7" ht="15.75" customHeight="1">
      <c r="C114" s="1"/>
      <c r="D114" s="1"/>
      <c r="E114" s="2"/>
      <c r="G114" s="3"/>
    </row>
    <row r="115" spans="3:7" ht="15.75" customHeight="1">
      <c r="C115" s="1"/>
      <c r="D115" s="1"/>
      <c r="E115" s="2"/>
      <c r="G115" s="3"/>
    </row>
    <row r="116" spans="3:7" ht="15.75" customHeight="1">
      <c r="C116" s="1"/>
      <c r="D116" s="1"/>
      <c r="E116" s="2"/>
      <c r="G116" s="3"/>
    </row>
    <row r="117" spans="3:7" ht="15.75" customHeight="1">
      <c r="C117" s="1"/>
      <c r="D117" s="1"/>
      <c r="E117" s="2"/>
      <c r="G117" s="3"/>
    </row>
    <row r="118" spans="3:7" ht="15.75" customHeight="1">
      <c r="C118" s="1"/>
      <c r="D118" s="1"/>
      <c r="E118" s="2"/>
      <c r="G118" s="3"/>
    </row>
    <row r="119" spans="3:7" ht="15.75" customHeight="1">
      <c r="C119" s="1"/>
      <c r="D119" s="1"/>
      <c r="E119" s="2"/>
      <c r="G119" s="3"/>
    </row>
    <row r="120" spans="3:7" ht="15.75" customHeight="1">
      <c r="C120" s="1"/>
      <c r="D120" s="1"/>
      <c r="E120" s="2"/>
      <c r="G120" s="3"/>
    </row>
    <row r="121" spans="3:7" ht="15.75" customHeight="1">
      <c r="C121" s="1"/>
      <c r="D121" s="1"/>
      <c r="E121" s="2"/>
      <c r="G121" s="3"/>
    </row>
    <row r="122" spans="3:7" ht="15.75" customHeight="1">
      <c r="C122" s="1"/>
      <c r="D122" s="1"/>
      <c r="E122" s="2"/>
      <c r="G122" s="3"/>
    </row>
    <row r="123" spans="3:7" ht="15.75" customHeight="1">
      <c r="C123" s="1"/>
      <c r="D123" s="1"/>
      <c r="E123" s="2"/>
      <c r="G123" s="3"/>
    </row>
    <row r="124" spans="3:7" ht="15.75" customHeight="1">
      <c r="C124" s="1"/>
      <c r="D124" s="1"/>
      <c r="E124" s="2"/>
      <c r="G124" s="3"/>
    </row>
    <row r="125" spans="3:7" ht="15.75" customHeight="1">
      <c r="C125" s="1"/>
      <c r="D125" s="1"/>
      <c r="E125" s="2"/>
      <c r="G125" s="3"/>
    </row>
    <row r="126" spans="3:7" ht="15.75" customHeight="1">
      <c r="C126" s="1"/>
      <c r="D126" s="1"/>
      <c r="E126" s="2"/>
      <c r="G126" s="3"/>
    </row>
    <row r="127" spans="3:7" ht="15.75" customHeight="1">
      <c r="C127" s="1"/>
      <c r="D127" s="1"/>
      <c r="E127" s="2"/>
      <c r="G127" s="3"/>
    </row>
    <row r="128" spans="3:7" ht="15.75" customHeight="1">
      <c r="C128" s="1"/>
      <c r="D128" s="1"/>
      <c r="E128" s="2"/>
      <c r="G128" s="3"/>
    </row>
    <row r="129" spans="3:7" ht="15.75" customHeight="1">
      <c r="C129" s="1"/>
      <c r="D129" s="1"/>
      <c r="E129" s="2"/>
      <c r="G129" s="3"/>
    </row>
    <row r="130" spans="3:7" ht="15.75" customHeight="1">
      <c r="C130" s="1"/>
      <c r="D130" s="1"/>
      <c r="E130" s="2"/>
      <c r="G130" s="3"/>
    </row>
    <row r="131" spans="3:7" ht="15.75" customHeight="1">
      <c r="C131" s="1"/>
      <c r="D131" s="1"/>
      <c r="E131" s="2"/>
      <c r="G131" s="3"/>
    </row>
    <row r="132" spans="3:7" ht="15.75" customHeight="1">
      <c r="C132" s="1"/>
      <c r="D132" s="1"/>
      <c r="E132" s="2"/>
      <c r="G132" s="3"/>
    </row>
    <row r="133" spans="3:7" ht="15.75" customHeight="1">
      <c r="C133" s="1"/>
      <c r="D133" s="1"/>
      <c r="E133" s="2"/>
      <c r="G133" s="3"/>
    </row>
    <row r="134" spans="3:7" ht="15.75" customHeight="1">
      <c r="C134" s="1"/>
      <c r="D134" s="1"/>
      <c r="E134" s="2"/>
      <c r="G134" s="3"/>
    </row>
    <row r="135" spans="3:7" ht="15.75" customHeight="1">
      <c r="C135" s="1"/>
      <c r="D135" s="1"/>
      <c r="E135" s="2"/>
      <c r="G135" s="3"/>
    </row>
    <row r="136" spans="3:7" ht="15.75" customHeight="1">
      <c r="C136" s="1"/>
      <c r="D136" s="1"/>
      <c r="E136" s="2"/>
      <c r="G136" s="3"/>
    </row>
    <row r="137" spans="3:7" ht="15.75" customHeight="1">
      <c r="C137" s="1"/>
      <c r="D137" s="1"/>
      <c r="E137" s="2"/>
      <c r="G137" s="3"/>
    </row>
    <row r="138" spans="3:7" ht="15.75" customHeight="1">
      <c r="C138" s="1"/>
      <c r="D138" s="1"/>
      <c r="E138" s="2"/>
      <c r="G138" s="3"/>
    </row>
    <row r="139" spans="3:7" ht="15.75" customHeight="1">
      <c r="C139" s="1"/>
      <c r="D139" s="1"/>
      <c r="E139" s="2"/>
      <c r="G139" s="3"/>
    </row>
    <row r="140" spans="3:7" ht="15.75" customHeight="1">
      <c r="C140" s="1"/>
      <c r="D140" s="1"/>
      <c r="E140" s="2"/>
      <c r="G140" s="3"/>
    </row>
    <row r="141" spans="3:7" ht="15.75" customHeight="1">
      <c r="C141" s="1"/>
      <c r="D141" s="1"/>
      <c r="E141" s="2"/>
      <c r="G141" s="3"/>
    </row>
    <row r="142" spans="3:7" ht="15.75" customHeight="1">
      <c r="C142" s="1"/>
      <c r="D142" s="1"/>
      <c r="E142" s="2"/>
      <c r="G142" s="3"/>
    </row>
    <row r="143" spans="3:7" ht="15.75" customHeight="1">
      <c r="C143" s="1"/>
      <c r="D143" s="1"/>
      <c r="E143" s="2"/>
      <c r="G143" s="3"/>
    </row>
    <row r="144" spans="3:7" ht="15.75" customHeight="1">
      <c r="C144" s="1"/>
      <c r="D144" s="1"/>
      <c r="E144" s="2"/>
      <c r="G144" s="3"/>
    </row>
    <row r="145" spans="3:7" ht="15.75" customHeight="1">
      <c r="C145" s="1"/>
      <c r="D145" s="1"/>
      <c r="E145" s="2"/>
      <c r="G145" s="3"/>
    </row>
    <row r="146" spans="3:7" ht="15.75" customHeight="1">
      <c r="C146" s="1"/>
      <c r="D146" s="1"/>
      <c r="E146" s="2"/>
      <c r="G146" s="3"/>
    </row>
    <row r="147" spans="3:7" ht="15.75" customHeight="1">
      <c r="C147" s="1"/>
      <c r="D147" s="1"/>
      <c r="E147" s="2"/>
      <c r="G147" s="3"/>
    </row>
    <row r="148" spans="3:7" ht="15.75" customHeight="1">
      <c r="C148" s="1"/>
      <c r="D148" s="1"/>
      <c r="E148" s="2"/>
      <c r="G148" s="3"/>
    </row>
    <row r="149" spans="3:7" ht="15.75" customHeight="1">
      <c r="C149" s="1"/>
      <c r="D149" s="1"/>
      <c r="E149" s="2"/>
      <c r="G149" s="3"/>
    </row>
    <row r="150" spans="3:7" ht="15.75" customHeight="1">
      <c r="C150" s="1"/>
      <c r="D150" s="1"/>
      <c r="E150" s="2"/>
      <c r="G150" s="3"/>
    </row>
    <row r="151" spans="3:7" ht="15.75" customHeight="1">
      <c r="C151" s="1"/>
      <c r="D151" s="1"/>
      <c r="E151" s="2"/>
      <c r="G151" s="3"/>
    </row>
    <row r="152" spans="3:7" ht="15.75" customHeight="1">
      <c r="C152" s="1"/>
      <c r="D152" s="1"/>
      <c r="E152" s="2"/>
      <c r="G152" s="3"/>
    </row>
    <row r="153" spans="3:7" ht="15.75" customHeight="1">
      <c r="C153" s="1"/>
      <c r="D153" s="1"/>
      <c r="E153" s="2"/>
      <c r="G153" s="3"/>
    </row>
    <row r="154" spans="3:7" ht="15.75" customHeight="1">
      <c r="C154" s="1"/>
      <c r="D154" s="1"/>
      <c r="E154" s="2"/>
      <c r="G154" s="3"/>
    </row>
    <row r="155" spans="3:7" ht="15.75" customHeight="1">
      <c r="C155" s="1"/>
      <c r="D155" s="1"/>
      <c r="E155" s="2"/>
      <c r="G155" s="3"/>
    </row>
    <row r="156" spans="3:7" ht="15.75" customHeight="1">
      <c r="C156" s="1"/>
      <c r="D156" s="1"/>
      <c r="E156" s="2"/>
      <c r="G156" s="3"/>
    </row>
    <row r="157" spans="3:7" ht="15.75" customHeight="1">
      <c r="C157" s="1"/>
      <c r="D157" s="1"/>
      <c r="E157" s="2"/>
      <c r="G157" s="3"/>
    </row>
    <row r="158" spans="3:7" ht="15.75" customHeight="1">
      <c r="C158" s="1"/>
      <c r="D158" s="1"/>
      <c r="E158" s="2"/>
      <c r="G158" s="3"/>
    </row>
    <row r="159" spans="3:7" ht="15.75" customHeight="1">
      <c r="C159" s="1"/>
      <c r="D159" s="1"/>
      <c r="E159" s="2"/>
      <c r="G159" s="3"/>
    </row>
    <row r="160" spans="3:7" ht="15.75" customHeight="1">
      <c r="C160" s="1"/>
      <c r="D160" s="1"/>
      <c r="E160" s="2"/>
      <c r="G160" s="3"/>
    </row>
    <row r="161" spans="3:7" ht="15.75" customHeight="1">
      <c r="C161" s="1"/>
      <c r="D161" s="1"/>
      <c r="E161" s="2"/>
      <c r="G161" s="3"/>
    </row>
    <row r="162" spans="3:7" ht="15.75" customHeight="1">
      <c r="C162" s="1"/>
      <c r="D162" s="1"/>
      <c r="E162" s="2"/>
      <c r="G162" s="3"/>
    </row>
    <row r="163" spans="3:7" ht="15.75" customHeight="1">
      <c r="C163" s="1"/>
      <c r="D163" s="1"/>
      <c r="E163" s="2"/>
      <c r="G163" s="3"/>
    </row>
    <row r="164" spans="3:7" ht="15.75" customHeight="1">
      <c r="C164" s="1"/>
      <c r="D164" s="1"/>
      <c r="E164" s="2"/>
      <c r="G164" s="3"/>
    </row>
    <row r="165" spans="3:7" ht="15.75" customHeight="1">
      <c r="C165" s="1"/>
      <c r="D165" s="1"/>
      <c r="E165" s="2"/>
      <c r="G165" s="3"/>
    </row>
    <row r="166" spans="3:7" ht="15.75" customHeight="1">
      <c r="C166" s="1"/>
      <c r="D166" s="1"/>
      <c r="E166" s="2"/>
      <c r="G166" s="3"/>
    </row>
    <row r="167" spans="3:7" ht="15.75" customHeight="1">
      <c r="C167" s="1"/>
      <c r="D167" s="1"/>
      <c r="E167" s="2"/>
      <c r="G167" s="3"/>
    </row>
    <row r="168" spans="3:7" ht="15.75" customHeight="1">
      <c r="C168" s="1"/>
      <c r="D168" s="1"/>
      <c r="E168" s="2"/>
      <c r="G168" s="3"/>
    </row>
    <row r="169" spans="3:7" ht="15.75" customHeight="1">
      <c r="C169" s="1"/>
      <c r="D169" s="1"/>
      <c r="E169" s="2"/>
      <c r="G169" s="3"/>
    </row>
    <row r="170" spans="3:7" ht="15.75" customHeight="1">
      <c r="C170" s="1"/>
      <c r="D170" s="1"/>
      <c r="E170" s="2"/>
      <c r="G170" s="3"/>
    </row>
    <row r="171" spans="3:7" ht="15.75" customHeight="1">
      <c r="C171" s="1"/>
      <c r="D171" s="1"/>
      <c r="E171" s="2"/>
      <c r="G171" s="3"/>
    </row>
    <row r="172" spans="3:7" ht="15.75" customHeight="1">
      <c r="C172" s="1"/>
      <c r="D172" s="1"/>
      <c r="E172" s="2"/>
      <c r="G172" s="3"/>
    </row>
    <row r="173" spans="3:7" ht="15.75" customHeight="1">
      <c r="C173" s="1"/>
      <c r="D173" s="1"/>
      <c r="E173" s="2"/>
      <c r="G173" s="3"/>
    </row>
    <row r="174" spans="3:7" ht="15.75" customHeight="1">
      <c r="C174" s="1"/>
      <c r="D174" s="1"/>
      <c r="E174" s="2"/>
      <c r="G174" s="3"/>
    </row>
    <row r="175" spans="3:7" ht="15.75" customHeight="1">
      <c r="C175" s="1"/>
      <c r="D175" s="1"/>
      <c r="E175" s="2"/>
      <c r="G175" s="3"/>
    </row>
    <row r="176" spans="3:7" ht="15.75" customHeight="1">
      <c r="C176" s="1"/>
      <c r="D176" s="1"/>
      <c r="E176" s="2"/>
      <c r="G176" s="3"/>
    </row>
    <row r="177" spans="3:7" ht="15.75" customHeight="1">
      <c r="C177" s="1"/>
      <c r="D177" s="1"/>
      <c r="E177" s="2"/>
      <c r="G177" s="3"/>
    </row>
    <row r="178" spans="3:7" ht="15.75" customHeight="1">
      <c r="C178" s="1"/>
      <c r="D178" s="1"/>
      <c r="E178" s="2"/>
      <c r="G178" s="3"/>
    </row>
    <row r="179" spans="3:7" ht="15.75" customHeight="1">
      <c r="C179" s="1"/>
      <c r="D179" s="1"/>
      <c r="E179" s="2"/>
      <c r="G179" s="3"/>
    </row>
    <row r="180" spans="3:7" ht="15.75" customHeight="1">
      <c r="C180" s="1"/>
      <c r="D180" s="1"/>
      <c r="E180" s="2"/>
      <c r="G180" s="3"/>
    </row>
    <row r="181" spans="3:7" ht="15.75" customHeight="1">
      <c r="C181" s="1"/>
      <c r="D181" s="1"/>
      <c r="E181" s="2"/>
      <c r="G181" s="3"/>
    </row>
    <row r="182" spans="3:7" ht="15.75" customHeight="1">
      <c r="C182" s="1"/>
      <c r="D182" s="1"/>
      <c r="E182" s="2"/>
      <c r="G182" s="3"/>
    </row>
    <row r="183" spans="3:7" ht="15.75" customHeight="1">
      <c r="C183" s="1"/>
      <c r="D183" s="1"/>
      <c r="E183" s="2"/>
      <c r="G183" s="3"/>
    </row>
    <row r="184" spans="3:7" ht="15.75" customHeight="1">
      <c r="C184" s="1"/>
      <c r="D184" s="1"/>
      <c r="E184" s="2"/>
      <c r="G184" s="3"/>
    </row>
    <row r="185" spans="3:7" ht="15.75" customHeight="1">
      <c r="C185" s="1"/>
      <c r="D185" s="1"/>
      <c r="E185" s="2"/>
      <c r="G185" s="3"/>
    </row>
    <row r="186" spans="3:7" ht="15.75" customHeight="1">
      <c r="C186" s="1"/>
      <c r="D186" s="1"/>
      <c r="E186" s="2"/>
      <c r="G186" s="3"/>
    </row>
    <row r="187" spans="3:7" ht="15.75" customHeight="1">
      <c r="C187" s="1"/>
      <c r="D187" s="1"/>
      <c r="E187" s="2"/>
      <c r="G187" s="3"/>
    </row>
    <row r="188" spans="3:7" ht="15.75" customHeight="1">
      <c r="C188" s="1"/>
      <c r="D188" s="1"/>
      <c r="E188" s="2"/>
      <c r="G188" s="3"/>
    </row>
    <row r="189" spans="3:7" ht="15.75" customHeight="1">
      <c r="C189" s="1"/>
      <c r="D189" s="1"/>
      <c r="E189" s="2"/>
      <c r="G189" s="3"/>
    </row>
    <row r="190" spans="3:7" ht="15.75" customHeight="1">
      <c r="C190" s="1"/>
      <c r="D190" s="1"/>
      <c r="E190" s="2"/>
      <c r="G190" s="3"/>
    </row>
    <row r="191" spans="3:7" ht="15.75" customHeight="1">
      <c r="C191" s="1"/>
      <c r="D191" s="1"/>
      <c r="E191" s="2"/>
      <c r="G191" s="3"/>
    </row>
    <row r="192" spans="3:7" ht="15.75" customHeight="1">
      <c r="C192" s="1"/>
      <c r="D192" s="1"/>
      <c r="E192" s="2"/>
      <c r="G192" s="3"/>
    </row>
    <row r="193" spans="3:7" ht="15.75" customHeight="1">
      <c r="C193" s="1"/>
      <c r="D193" s="1"/>
      <c r="E193" s="2"/>
      <c r="G193" s="3"/>
    </row>
    <row r="194" spans="3:7" ht="15.75" customHeight="1">
      <c r="C194" s="1"/>
      <c r="D194" s="1"/>
      <c r="E194" s="2"/>
      <c r="G194" s="3"/>
    </row>
    <row r="195" spans="3:7" ht="15.75" customHeight="1">
      <c r="C195" s="1"/>
      <c r="D195" s="1"/>
      <c r="E195" s="2"/>
      <c r="G195" s="3"/>
    </row>
    <row r="196" spans="3:7" ht="15.75" customHeight="1">
      <c r="C196" s="1"/>
      <c r="D196" s="1"/>
      <c r="E196" s="2"/>
      <c r="G196" s="3"/>
    </row>
    <row r="197" spans="3:7" ht="15.75" customHeight="1">
      <c r="C197" s="1"/>
      <c r="D197" s="1"/>
      <c r="E197" s="2"/>
      <c r="G197" s="3"/>
    </row>
    <row r="198" spans="3:7" ht="15.75" customHeight="1">
      <c r="C198" s="1"/>
      <c r="D198" s="1"/>
      <c r="E198" s="2"/>
      <c r="G198" s="3"/>
    </row>
    <row r="199" spans="3:7" ht="15.75" customHeight="1">
      <c r="C199" s="1"/>
      <c r="D199" s="1"/>
      <c r="E199" s="2"/>
      <c r="G199" s="3"/>
    </row>
    <row r="200" spans="3:7" ht="15.75" customHeight="1">
      <c r="C200" s="1"/>
      <c r="D200" s="1"/>
      <c r="E200" s="2"/>
      <c r="G200" s="3"/>
    </row>
    <row r="201" spans="3:7" ht="15.75" customHeight="1">
      <c r="C201" s="1"/>
      <c r="D201" s="1"/>
      <c r="E201" s="2"/>
      <c r="G201" s="3"/>
    </row>
    <row r="202" spans="3:7" ht="15.75" customHeight="1">
      <c r="C202" s="1"/>
      <c r="D202" s="1"/>
      <c r="E202" s="2"/>
      <c r="G202" s="3"/>
    </row>
    <row r="203" spans="3:7" ht="15.75" customHeight="1">
      <c r="C203" s="1"/>
      <c r="D203" s="1"/>
      <c r="E203" s="2"/>
      <c r="G203" s="3"/>
    </row>
    <row r="204" spans="3:7" ht="15.75" customHeight="1">
      <c r="C204" s="1"/>
      <c r="D204" s="1"/>
      <c r="E204" s="2"/>
      <c r="G204" s="3"/>
    </row>
    <row r="205" spans="3:7" ht="15.75" customHeight="1">
      <c r="C205" s="1"/>
      <c r="D205" s="1"/>
      <c r="E205" s="2"/>
      <c r="G205" s="3"/>
    </row>
    <row r="206" spans="3:7" ht="15.75" customHeight="1">
      <c r="C206" s="1"/>
      <c r="D206" s="1"/>
      <c r="E206" s="2"/>
      <c r="G206" s="3"/>
    </row>
    <row r="207" spans="3:7" ht="15.75" customHeight="1">
      <c r="C207" s="1"/>
      <c r="D207" s="1"/>
      <c r="E207" s="2"/>
      <c r="G207" s="3"/>
    </row>
    <row r="208" spans="3:7" ht="15.75" customHeight="1">
      <c r="C208" s="1"/>
      <c r="D208" s="1"/>
      <c r="E208" s="2"/>
      <c r="G208" s="3"/>
    </row>
    <row r="209" spans="3:7" ht="15.75" customHeight="1">
      <c r="C209" s="1"/>
      <c r="D209" s="1"/>
      <c r="E209" s="2"/>
      <c r="G209" s="3"/>
    </row>
    <row r="210" spans="3:7" ht="15.75" customHeight="1">
      <c r="C210" s="1"/>
      <c r="D210" s="1"/>
      <c r="E210" s="2"/>
      <c r="G210" s="3"/>
    </row>
    <row r="211" spans="3:7" ht="15.75" customHeight="1">
      <c r="C211" s="1"/>
      <c r="D211" s="1"/>
      <c r="E211" s="2"/>
      <c r="G211" s="3"/>
    </row>
    <row r="212" spans="3:7" ht="15.75" customHeight="1">
      <c r="C212" s="1"/>
      <c r="D212" s="1"/>
      <c r="E212" s="2"/>
      <c r="G212" s="3"/>
    </row>
    <row r="213" spans="3:7" ht="15.75" customHeight="1">
      <c r="C213" s="1"/>
      <c r="D213" s="1"/>
      <c r="E213" s="2"/>
      <c r="G213" s="3"/>
    </row>
    <row r="214" spans="3:7" ht="15.75" customHeight="1">
      <c r="C214" s="1"/>
      <c r="D214" s="1"/>
      <c r="E214" s="2"/>
      <c r="G214" s="3"/>
    </row>
    <row r="215" spans="3:7" ht="15.75" customHeight="1">
      <c r="C215" s="1"/>
      <c r="D215" s="1"/>
      <c r="E215" s="2"/>
      <c r="G215" s="3"/>
    </row>
    <row r="216" spans="3:7" ht="15.75" customHeight="1">
      <c r="C216" s="1"/>
      <c r="D216" s="1"/>
      <c r="E216" s="2"/>
      <c r="G216" s="3"/>
    </row>
    <row r="217" spans="3:7" ht="15.75" customHeight="1">
      <c r="C217" s="1"/>
      <c r="D217" s="1"/>
      <c r="E217" s="2"/>
      <c r="G217" s="3"/>
    </row>
    <row r="218" spans="3:7" ht="15.75" customHeight="1">
      <c r="C218" s="1"/>
      <c r="D218" s="1"/>
      <c r="E218" s="2"/>
      <c r="G218" s="3"/>
    </row>
    <row r="219" spans="3:7" ht="15.75" customHeight="1">
      <c r="C219" s="1"/>
      <c r="D219" s="1"/>
      <c r="E219" s="2"/>
      <c r="G219" s="3"/>
    </row>
    <row r="220" spans="3:7" ht="15.75" customHeight="1">
      <c r="C220" s="1"/>
      <c r="D220" s="1"/>
      <c r="E220" s="2"/>
      <c r="G220" s="3"/>
    </row>
    <row r="221" spans="3:7" ht="15.75" customHeight="1">
      <c r="C221" s="1"/>
      <c r="D221" s="1"/>
      <c r="E221" s="2"/>
      <c r="G221" s="3"/>
    </row>
    <row r="222" spans="3:7" ht="15.75" customHeight="1">
      <c r="C222" s="1"/>
      <c r="D222" s="1"/>
      <c r="E222" s="2"/>
      <c r="G222" s="3"/>
    </row>
    <row r="223" spans="3:7" ht="15.75" customHeight="1">
      <c r="C223" s="1"/>
      <c r="D223" s="1"/>
      <c r="E223" s="2"/>
      <c r="G223" s="3"/>
    </row>
    <row r="224" spans="3:7" ht="15.75" customHeight="1">
      <c r="C224" s="1"/>
      <c r="D224" s="1"/>
      <c r="E224" s="2"/>
      <c r="G224" s="3"/>
    </row>
    <row r="225" spans="3:7" ht="15.75" customHeight="1">
      <c r="C225" s="1"/>
      <c r="D225" s="1"/>
      <c r="E225" s="2"/>
      <c r="G225" s="3"/>
    </row>
    <row r="226" spans="3:7" ht="15.75" customHeight="1">
      <c r="C226" s="1"/>
      <c r="D226" s="1"/>
      <c r="E226" s="2"/>
      <c r="G226" s="3"/>
    </row>
    <row r="227" spans="3:7" ht="15.75" customHeight="1">
      <c r="C227" s="1"/>
      <c r="D227" s="1"/>
      <c r="E227" s="2"/>
      <c r="G227" s="3"/>
    </row>
    <row r="228" spans="3:7" ht="15.75" customHeight="1">
      <c r="C228" s="1"/>
      <c r="D228" s="1"/>
      <c r="E228" s="2"/>
      <c r="G228" s="3"/>
    </row>
    <row r="229" spans="3:7" ht="15.75" customHeight="1">
      <c r="C229" s="1"/>
      <c r="D229" s="1"/>
      <c r="E229" s="2"/>
      <c r="G229" s="3"/>
    </row>
    <row r="230" spans="3:7" ht="15.75" customHeight="1">
      <c r="C230" s="1"/>
      <c r="D230" s="1"/>
      <c r="E230" s="2"/>
      <c r="G230" s="3"/>
    </row>
    <row r="231" spans="3:7" ht="15.75" customHeight="1">
      <c r="C231" s="1"/>
      <c r="D231" s="1"/>
      <c r="E231" s="2"/>
      <c r="G231" s="3"/>
    </row>
    <row r="232" spans="3:7" ht="15.75" customHeight="1">
      <c r="C232" s="1"/>
      <c r="D232" s="1"/>
      <c r="E232" s="2"/>
      <c r="G232" s="3"/>
    </row>
    <row r="233" spans="3:7" ht="15.75" customHeight="1">
      <c r="C233" s="1"/>
      <c r="D233" s="1"/>
      <c r="E233" s="2"/>
      <c r="G233" s="3"/>
    </row>
    <row r="234" spans="3:7" ht="15.75" customHeight="1">
      <c r="C234" s="1"/>
      <c r="D234" s="1"/>
      <c r="E234" s="2"/>
      <c r="G234" s="3"/>
    </row>
    <row r="235" spans="3:7" ht="15.75" customHeight="1">
      <c r="C235" s="1"/>
      <c r="D235" s="1"/>
      <c r="E235" s="2"/>
      <c r="G235" s="3"/>
    </row>
    <row r="236" spans="3:7" ht="15.75" customHeight="1">
      <c r="C236" s="1"/>
      <c r="D236" s="1"/>
      <c r="E236" s="2"/>
      <c r="G236" s="3"/>
    </row>
    <row r="237" spans="3:7" ht="15.75" customHeight="1">
      <c r="C237" s="1"/>
      <c r="D237" s="1"/>
      <c r="E237" s="2"/>
      <c r="G237" s="3"/>
    </row>
    <row r="238" spans="3:7" ht="15.75" customHeight="1">
      <c r="C238" s="1"/>
      <c r="D238" s="1"/>
      <c r="E238" s="2"/>
      <c r="G238" s="3"/>
    </row>
    <row r="239" spans="3:7" ht="15.75" customHeight="1">
      <c r="C239" s="1"/>
      <c r="D239" s="1"/>
      <c r="E239" s="2"/>
      <c r="G239" s="3"/>
    </row>
    <row r="240" spans="3:7" ht="15.75" customHeight="1">
      <c r="C240" s="1"/>
      <c r="D240" s="1"/>
      <c r="E240" s="2"/>
      <c r="G240" s="3"/>
    </row>
    <row r="241" spans="3:7" ht="15.75" customHeight="1">
      <c r="C241" s="1"/>
      <c r="D241" s="1"/>
      <c r="E241" s="2"/>
      <c r="G241" s="3"/>
    </row>
    <row r="242" spans="3:7" ht="15.75" customHeight="1">
      <c r="C242" s="1"/>
      <c r="D242" s="1"/>
      <c r="E242" s="2"/>
      <c r="G242" s="3"/>
    </row>
    <row r="243" spans="3:7" ht="15.75" customHeight="1">
      <c r="C243" s="1"/>
      <c r="D243" s="1"/>
      <c r="E243" s="2"/>
      <c r="G243" s="3"/>
    </row>
    <row r="244" spans="3:7" ht="15.75" customHeight="1">
      <c r="C244" s="1"/>
      <c r="D244" s="1"/>
      <c r="E244" s="2"/>
      <c r="G244" s="3"/>
    </row>
    <row r="245" spans="3:7" ht="15.75" customHeight="1">
      <c r="C245" s="1"/>
      <c r="D245" s="1"/>
      <c r="E245" s="2"/>
      <c r="G245" s="3"/>
    </row>
    <row r="246" spans="3:7" ht="15.75" customHeight="1">
      <c r="C246" s="1"/>
      <c r="D246" s="1"/>
      <c r="E246" s="2"/>
      <c r="G246" s="3"/>
    </row>
    <row r="247" spans="3:7" ht="15.75" customHeight="1">
      <c r="C247" s="1"/>
      <c r="D247" s="1"/>
      <c r="E247" s="2"/>
      <c r="G247" s="3"/>
    </row>
    <row r="248" spans="3:7" ht="15.75" customHeight="1">
      <c r="C248" s="1"/>
      <c r="D248" s="1"/>
      <c r="E248" s="2"/>
      <c r="G248" s="3"/>
    </row>
    <row r="249" spans="3:7" ht="15.75" customHeight="1">
      <c r="C249" s="1"/>
      <c r="D249" s="1"/>
      <c r="E249" s="2"/>
      <c r="G249" s="3"/>
    </row>
    <row r="250" spans="3:7" ht="15.75" customHeight="1">
      <c r="C250" s="1"/>
      <c r="D250" s="1"/>
      <c r="E250" s="2"/>
      <c r="G250" s="3"/>
    </row>
    <row r="251" spans="3:7" ht="15.75" customHeight="1">
      <c r="C251" s="1"/>
      <c r="D251" s="1"/>
      <c r="E251" s="2"/>
      <c r="G251" s="3"/>
    </row>
    <row r="252" spans="3:7" ht="15.75" customHeight="1">
      <c r="C252" s="1"/>
      <c r="D252" s="1"/>
      <c r="E252" s="2"/>
      <c r="G252" s="3"/>
    </row>
    <row r="253" spans="3:7" ht="15.75" customHeight="1">
      <c r="C253" s="1"/>
      <c r="D253" s="1"/>
      <c r="E253" s="2"/>
      <c r="G253" s="3"/>
    </row>
    <row r="254" spans="3:7" ht="15.75" customHeight="1">
      <c r="C254" s="1"/>
      <c r="D254" s="1"/>
      <c r="E254" s="2"/>
      <c r="G254" s="3"/>
    </row>
    <row r="255" spans="3:7" ht="15.75" customHeight="1">
      <c r="C255" s="1"/>
      <c r="D255" s="1"/>
      <c r="E255" s="2"/>
      <c r="G255" s="3"/>
    </row>
    <row r="256" spans="3:7" ht="15.75" customHeight="1">
      <c r="C256" s="1"/>
      <c r="D256" s="1"/>
      <c r="E256" s="2"/>
      <c r="G256" s="3"/>
    </row>
    <row r="257" spans="3:7" ht="15.75" customHeight="1">
      <c r="C257" s="1"/>
      <c r="D257" s="1"/>
      <c r="E257" s="2"/>
      <c r="G257" s="3"/>
    </row>
    <row r="258" spans="3:7" ht="15.75" customHeight="1">
      <c r="C258" s="1"/>
      <c r="D258" s="1"/>
      <c r="E258" s="2"/>
      <c r="G258" s="3"/>
    </row>
    <row r="259" spans="3:7" ht="15.75" customHeight="1">
      <c r="C259" s="1"/>
      <c r="D259" s="1"/>
      <c r="E259" s="2"/>
      <c r="G259" s="3"/>
    </row>
    <row r="260" spans="3:7" ht="15.75" customHeight="1">
      <c r="C260" s="1"/>
      <c r="D260" s="1"/>
      <c r="E260" s="2"/>
      <c r="G260" s="3"/>
    </row>
    <row r="261" spans="3:7" ht="15.75" customHeight="1">
      <c r="C261" s="1"/>
      <c r="D261" s="1"/>
      <c r="E261" s="2"/>
      <c r="G261" s="3"/>
    </row>
    <row r="262" spans="3:7" ht="15.75" customHeight="1">
      <c r="C262" s="1"/>
      <c r="D262" s="1"/>
      <c r="E262" s="2"/>
      <c r="G262" s="3"/>
    </row>
    <row r="263" spans="3:7" ht="15.75" customHeight="1">
      <c r="C263" s="1"/>
      <c r="D263" s="1"/>
      <c r="E263" s="2"/>
      <c r="G263" s="3"/>
    </row>
    <row r="264" spans="3:7" ht="15.75" customHeight="1">
      <c r="C264" s="1"/>
      <c r="D264" s="1"/>
      <c r="E264" s="2"/>
      <c r="G264" s="3"/>
    </row>
    <row r="265" spans="3:7" ht="15.75" customHeight="1">
      <c r="C265" s="1"/>
      <c r="D265" s="1"/>
      <c r="E265" s="2"/>
      <c r="G265" s="3"/>
    </row>
    <row r="266" spans="3:7" ht="15.75" customHeight="1">
      <c r="C266" s="1"/>
      <c r="D266" s="1"/>
      <c r="E266" s="2"/>
      <c r="G266" s="3"/>
    </row>
    <row r="267" spans="3:7" ht="15.75" customHeight="1">
      <c r="C267" s="1"/>
      <c r="D267" s="1"/>
      <c r="E267" s="2"/>
      <c r="G267" s="3"/>
    </row>
    <row r="268" spans="3:7" ht="15.75" customHeight="1">
      <c r="C268" s="1"/>
      <c r="D268" s="1"/>
      <c r="E268" s="2"/>
      <c r="G268" s="3"/>
    </row>
    <row r="269" spans="3:7" ht="15.75" customHeight="1">
      <c r="C269" s="1"/>
      <c r="D269" s="1"/>
      <c r="E269" s="2"/>
      <c r="G269" s="3"/>
    </row>
    <row r="270" spans="3:7" ht="15.75" customHeight="1">
      <c r="C270" s="1"/>
      <c r="D270" s="1"/>
      <c r="E270" s="2"/>
      <c r="G270" s="3"/>
    </row>
    <row r="271" spans="3:7" ht="15.75" customHeight="1">
      <c r="C271" s="1"/>
      <c r="D271" s="1"/>
      <c r="E271" s="2"/>
      <c r="G271" s="3"/>
    </row>
    <row r="272" spans="3:7" ht="15.75" customHeight="1">
      <c r="C272" s="1"/>
      <c r="D272" s="1"/>
      <c r="E272" s="2"/>
      <c r="G272" s="3"/>
    </row>
    <row r="273" spans="3:7" ht="15.75" customHeight="1">
      <c r="C273" s="1"/>
      <c r="D273" s="1"/>
      <c r="E273" s="2"/>
      <c r="G273" s="3"/>
    </row>
    <row r="274" spans="3:7" ht="15.75" customHeight="1">
      <c r="C274" s="1"/>
      <c r="D274" s="1"/>
      <c r="E274" s="2"/>
      <c r="G274" s="3"/>
    </row>
    <row r="275" spans="3:7" ht="15.75" customHeight="1">
      <c r="C275" s="1"/>
      <c r="D275" s="1"/>
      <c r="E275" s="2"/>
      <c r="G275" s="3"/>
    </row>
    <row r="276" spans="3:7" ht="15.75" customHeight="1">
      <c r="C276" s="1"/>
      <c r="D276" s="1"/>
      <c r="E276" s="2"/>
      <c r="G276" s="3"/>
    </row>
    <row r="277" spans="3:7" ht="15.75" customHeight="1">
      <c r="C277" s="1"/>
      <c r="D277" s="1"/>
      <c r="E277" s="2"/>
      <c r="G277" s="3"/>
    </row>
    <row r="278" spans="3:7" ht="15.75" customHeight="1">
      <c r="C278" s="1"/>
      <c r="D278" s="1"/>
      <c r="E278" s="2"/>
      <c r="G278" s="3"/>
    </row>
    <row r="279" spans="3:7" ht="15.75" customHeight="1">
      <c r="C279" s="1"/>
      <c r="D279" s="1"/>
      <c r="E279" s="2"/>
      <c r="G279" s="3"/>
    </row>
    <row r="280" spans="3:7" ht="15.75" customHeight="1">
      <c r="C280" s="1"/>
      <c r="D280" s="1"/>
      <c r="E280" s="2"/>
      <c r="G280" s="3"/>
    </row>
    <row r="281" spans="3:7" ht="15.75" customHeight="1">
      <c r="C281" s="1"/>
      <c r="D281" s="1"/>
      <c r="E281" s="2"/>
      <c r="G281" s="3"/>
    </row>
    <row r="282" spans="3:7" ht="15.75" customHeight="1">
      <c r="C282" s="1"/>
      <c r="D282" s="1"/>
      <c r="E282" s="2"/>
      <c r="G282" s="3"/>
    </row>
    <row r="283" spans="3:7" ht="15.75" customHeight="1">
      <c r="C283" s="1"/>
      <c r="D283" s="1"/>
      <c r="E283" s="2"/>
      <c r="G283" s="3"/>
    </row>
    <row r="284" spans="3:7" ht="15.75" customHeight="1">
      <c r="C284" s="1"/>
      <c r="D284" s="1"/>
      <c r="E284" s="2"/>
      <c r="G284" s="3"/>
    </row>
    <row r="285" spans="3:7" ht="15.75" customHeight="1">
      <c r="C285" s="1"/>
      <c r="D285" s="1"/>
      <c r="E285" s="2"/>
      <c r="G285" s="3"/>
    </row>
    <row r="286" spans="3:7" ht="15.75" customHeight="1">
      <c r="C286" s="1"/>
      <c r="D286" s="1"/>
      <c r="E286" s="2"/>
      <c r="G286" s="3"/>
    </row>
    <row r="287" spans="3:7" ht="15.75" customHeight="1">
      <c r="C287" s="1"/>
      <c r="D287" s="1"/>
      <c r="E287" s="2"/>
      <c r="G287" s="3"/>
    </row>
    <row r="288" spans="3:7" ht="15.75" customHeight="1">
      <c r="C288" s="1"/>
      <c r="D288" s="1"/>
      <c r="E288" s="2"/>
      <c r="G288" s="3"/>
    </row>
    <row r="289" spans="3:7" ht="15.75" customHeight="1">
      <c r="C289" s="1"/>
      <c r="D289" s="1"/>
      <c r="E289" s="2"/>
      <c r="G289" s="3"/>
    </row>
    <row r="290" spans="3:7" ht="15.75" customHeight="1">
      <c r="C290" s="1"/>
      <c r="D290" s="1"/>
      <c r="E290" s="2"/>
      <c r="G290" s="3"/>
    </row>
    <row r="291" spans="3:7" ht="15.75" customHeight="1">
      <c r="C291" s="1"/>
      <c r="D291" s="1"/>
      <c r="E291" s="2"/>
      <c r="G291" s="3"/>
    </row>
    <row r="292" spans="3:7" ht="15.75" customHeight="1">
      <c r="C292" s="1"/>
      <c r="D292" s="1"/>
      <c r="E292" s="2"/>
      <c r="G292" s="3"/>
    </row>
    <row r="293" spans="3:7" ht="15.75" customHeight="1">
      <c r="C293" s="1"/>
      <c r="D293" s="1"/>
      <c r="E293" s="2"/>
      <c r="G293" s="3"/>
    </row>
    <row r="294" spans="3:7" ht="15.75" customHeight="1">
      <c r="C294" s="1"/>
      <c r="D294" s="1"/>
      <c r="E294" s="2"/>
      <c r="G294" s="3"/>
    </row>
    <row r="295" spans="3:7" ht="15.75" customHeight="1">
      <c r="C295" s="1"/>
      <c r="D295" s="1"/>
      <c r="E295" s="2"/>
      <c r="G295" s="3"/>
    </row>
    <row r="296" spans="3:7" ht="15.75" customHeight="1">
      <c r="C296" s="1"/>
      <c r="D296" s="1"/>
      <c r="E296" s="2"/>
      <c r="G296" s="3"/>
    </row>
    <row r="297" spans="3:7" ht="15.75" customHeight="1">
      <c r="C297" s="1"/>
      <c r="D297" s="1"/>
      <c r="E297" s="2"/>
      <c r="G297" s="3"/>
    </row>
    <row r="298" spans="3:7" ht="15.75" customHeight="1">
      <c r="C298" s="1"/>
      <c r="D298" s="1"/>
      <c r="E298" s="2"/>
      <c r="G298" s="3"/>
    </row>
    <row r="299" spans="3:7" ht="15.75" customHeight="1">
      <c r="C299" s="1"/>
      <c r="D299" s="1"/>
      <c r="E299" s="2"/>
      <c r="G299" s="3"/>
    </row>
    <row r="300" spans="3:7" ht="15.75" customHeight="1">
      <c r="C300" s="1"/>
      <c r="D300" s="1"/>
      <c r="E300" s="2"/>
      <c r="G300" s="3"/>
    </row>
    <row r="301" spans="3:7" ht="15.75" customHeight="1">
      <c r="C301" s="1"/>
      <c r="D301" s="1"/>
      <c r="E301" s="2"/>
      <c r="G301" s="3"/>
    </row>
    <row r="302" spans="3:7" ht="15.75" customHeight="1">
      <c r="C302" s="1"/>
      <c r="D302" s="1"/>
      <c r="E302" s="2"/>
      <c r="G302" s="3"/>
    </row>
    <row r="303" spans="3:7" ht="15.75" customHeight="1">
      <c r="C303" s="1"/>
      <c r="D303" s="1"/>
      <c r="E303" s="2"/>
      <c r="G303" s="3"/>
    </row>
    <row r="304" spans="3:7" ht="15.75" customHeight="1">
      <c r="C304" s="1"/>
      <c r="D304" s="1"/>
      <c r="E304" s="2"/>
      <c r="G304" s="3"/>
    </row>
    <row r="305" spans="3:7" ht="15.75" customHeight="1">
      <c r="C305" s="1"/>
      <c r="D305" s="1"/>
      <c r="E305" s="2"/>
      <c r="G305" s="3"/>
    </row>
    <row r="306" spans="3:7" ht="15.75" customHeight="1">
      <c r="C306" s="1"/>
      <c r="D306" s="1"/>
      <c r="E306" s="2"/>
      <c r="G306" s="3"/>
    </row>
    <row r="307" spans="3:7" ht="15.75" customHeight="1">
      <c r="C307" s="1"/>
      <c r="D307" s="1"/>
      <c r="E307" s="2"/>
      <c r="G307" s="3"/>
    </row>
    <row r="308" spans="3:7" ht="15.75" customHeight="1">
      <c r="C308" s="1"/>
      <c r="D308" s="1"/>
      <c r="E308" s="2"/>
      <c r="G308" s="3"/>
    </row>
    <row r="309" spans="3:7" ht="15.75" customHeight="1">
      <c r="C309" s="1"/>
      <c r="D309" s="1"/>
      <c r="E309" s="2"/>
      <c r="G309" s="3"/>
    </row>
    <row r="310" spans="3:7" ht="15.75" customHeight="1">
      <c r="C310" s="1"/>
      <c r="D310" s="1"/>
      <c r="E310" s="2"/>
      <c r="G310" s="3"/>
    </row>
    <row r="311" spans="3:7" ht="15.75" customHeight="1">
      <c r="C311" s="1"/>
      <c r="D311" s="1"/>
      <c r="E311" s="2"/>
      <c r="G311" s="3"/>
    </row>
    <row r="312" spans="3:7" ht="15.75" customHeight="1">
      <c r="C312" s="1"/>
      <c r="D312" s="1"/>
      <c r="E312" s="2"/>
      <c r="G312" s="3"/>
    </row>
    <row r="313" spans="3:7" ht="15.75" customHeight="1">
      <c r="C313" s="1"/>
      <c r="D313" s="1"/>
      <c r="E313" s="2"/>
      <c r="G313" s="3"/>
    </row>
    <row r="314" spans="3:7" ht="15.75" customHeight="1">
      <c r="C314" s="1"/>
      <c r="D314" s="1"/>
      <c r="E314" s="2"/>
      <c r="G314" s="3"/>
    </row>
    <row r="315" spans="3:7" ht="15.75" customHeight="1">
      <c r="C315" s="1"/>
      <c r="D315" s="1"/>
      <c r="E315" s="2"/>
      <c r="G315" s="3"/>
    </row>
    <row r="316" spans="3:7" ht="15.75" customHeight="1">
      <c r="C316" s="1"/>
      <c r="D316" s="1"/>
      <c r="E316" s="2"/>
      <c r="G316" s="3"/>
    </row>
    <row r="317" spans="3:7" ht="15.75" customHeight="1">
      <c r="C317" s="1"/>
      <c r="D317" s="1"/>
      <c r="E317" s="2"/>
      <c r="G317" s="3"/>
    </row>
    <row r="318" spans="3:7" ht="15.75" customHeight="1">
      <c r="C318" s="1"/>
      <c r="D318" s="1"/>
      <c r="E318" s="2"/>
      <c r="G318" s="3"/>
    </row>
    <row r="319" spans="3:7" ht="15.75" customHeight="1">
      <c r="C319" s="1"/>
      <c r="D319" s="1"/>
      <c r="E319" s="2"/>
      <c r="G319" s="3"/>
    </row>
    <row r="320" spans="3:7" ht="15.75" customHeight="1">
      <c r="C320" s="1"/>
      <c r="D320" s="1"/>
      <c r="E320" s="2"/>
      <c r="G320" s="3"/>
    </row>
    <row r="321" spans="3:7" ht="15.75" customHeight="1">
      <c r="C321" s="1"/>
      <c r="D321" s="1"/>
      <c r="E321" s="2"/>
      <c r="G321" s="3"/>
    </row>
    <row r="322" spans="3:7" ht="15.75" customHeight="1">
      <c r="C322" s="1"/>
      <c r="D322" s="1"/>
      <c r="E322" s="2"/>
      <c r="G322" s="3"/>
    </row>
    <row r="323" spans="3:7" ht="15.75" customHeight="1">
      <c r="C323" s="1"/>
      <c r="D323" s="1"/>
      <c r="E323" s="2"/>
      <c r="G323" s="3"/>
    </row>
    <row r="324" spans="3:7" ht="15.75" customHeight="1">
      <c r="C324" s="1"/>
      <c r="D324" s="1"/>
      <c r="E324" s="2"/>
      <c r="G324" s="3"/>
    </row>
    <row r="325" spans="3:7" ht="15.75" customHeight="1">
      <c r="C325" s="1"/>
      <c r="D325" s="1"/>
      <c r="E325" s="2"/>
      <c r="G325" s="3"/>
    </row>
    <row r="326" spans="3:7" ht="15.75" customHeight="1">
      <c r="C326" s="1"/>
      <c r="D326" s="1"/>
      <c r="E326" s="2"/>
      <c r="G326" s="3"/>
    </row>
    <row r="327" spans="3:7" ht="15.75" customHeight="1">
      <c r="C327" s="1"/>
      <c r="D327" s="1"/>
      <c r="E327" s="2"/>
      <c r="G327" s="3"/>
    </row>
    <row r="328" spans="3:7" ht="15.75" customHeight="1">
      <c r="C328" s="1"/>
      <c r="D328" s="1"/>
      <c r="E328" s="2"/>
      <c r="G328" s="3"/>
    </row>
    <row r="329" spans="3:7" ht="15.75" customHeight="1">
      <c r="C329" s="1"/>
      <c r="D329" s="1"/>
      <c r="E329" s="2"/>
      <c r="G329" s="3"/>
    </row>
    <row r="330" spans="3:7" ht="15.75" customHeight="1">
      <c r="C330" s="1"/>
      <c r="D330" s="1"/>
      <c r="E330" s="2"/>
      <c r="G330" s="3"/>
    </row>
    <row r="331" spans="3:7" ht="15.75" customHeight="1">
      <c r="C331" s="1"/>
      <c r="D331" s="1"/>
      <c r="E331" s="2"/>
      <c r="G331" s="3"/>
    </row>
    <row r="332" spans="3:7" ht="15.75" customHeight="1">
      <c r="C332" s="1"/>
      <c r="D332" s="1"/>
      <c r="E332" s="2"/>
      <c r="G332" s="3"/>
    </row>
    <row r="333" spans="3:7" ht="15.75" customHeight="1">
      <c r="C333" s="1"/>
      <c r="D333" s="1"/>
      <c r="E333" s="2"/>
      <c r="G333" s="3"/>
    </row>
    <row r="334" spans="3:7" ht="15.75" customHeight="1">
      <c r="C334" s="1"/>
      <c r="D334" s="1"/>
      <c r="E334" s="2"/>
      <c r="G334" s="3"/>
    </row>
    <row r="335" spans="3:7" ht="15.75" customHeight="1">
      <c r="C335" s="1"/>
      <c r="D335" s="1"/>
      <c r="E335" s="2"/>
      <c r="G335" s="3"/>
    </row>
    <row r="336" spans="3:7" ht="15.75" customHeight="1">
      <c r="C336" s="1"/>
      <c r="D336" s="1"/>
      <c r="E336" s="2"/>
      <c r="G336" s="3"/>
    </row>
    <row r="337" spans="3:7" ht="15.75" customHeight="1">
      <c r="C337" s="1"/>
      <c r="D337" s="1"/>
      <c r="E337" s="2"/>
      <c r="G337" s="3"/>
    </row>
    <row r="338" spans="3:7" ht="15.75" customHeight="1">
      <c r="C338" s="1"/>
      <c r="D338" s="1"/>
      <c r="E338" s="2"/>
      <c r="G338" s="3"/>
    </row>
    <row r="339" spans="3:7" ht="15.75" customHeight="1">
      <c r="C339" s="1"/>
      <c r="D339" s="1"/>
      <c r="E339" s="2"/>
      <c r="G339" s="3"/>
    </row>
    <row r="340" spans="3:7" ht="15.75" customHeight="1">
      <c r="C340" s="1"/>
      <c r="D340" s="1"/>
      <c r="E340" s="2"/>
      <c r="G340" s="3"/>
    </row>
    <row r="341" spans="3:7" ht="15.75" customHeight="1">
      <c r="C341" s="1"/>
      <c r="D341" s="1"/>
      <c r="E341" s="2"/>
      <c r="G341" s="3"/>
    </row>
    <row r="342" spans="3:7" ht="15.75" customHeight="1">
      <c r="C342" s="1"/>
      <c r="D342" s="1"/>
      <c r="E342" s="2"/>
      <c r="G342" s="3"/>
    </row>
    <row r="343" spans="3:7" ht="15.75" customHeight="1">
      <c r="C343" s="1"/>
      <c r="D343" s="1"/>
      <c r="E343" s="2"/>
      <c r="G343" s="3"/>
    </row>
    <row r="344" spans="3:7" ht="15.75" customHeight="1">
      <c r="C344" s="1"/>
      <c r="D344" s="1"/>
      <c r="E344" s="2"/>
      <c r="G344" s="3"/>
    </row>
    <row r="345" spans="3:7" ht="15.75" customHeight="1">
      <c r="C345" s="1"/>
      <c r="D345" s="1"/>
      <c r="E345" s="2"/>
      <c r="G345" s="3"/>
    </row>
    <row r="346" spans="3:7" ht="15.75" customHeight="1">
      <c r="C346" s="1"/>
      <c r="D346" s="1"/>
      <c r="E346" s="2"/>
      <c r="G346" s="3"/>
    </row>
    <row r="347" spans="3:7" ht="15.75" customHeight="1">
      <c r="C347" s="1"/>
      <c r="D347" s="1"/>
      <c r="E347" s="2"/>
      <c r="G347" s="3"/>
    </row>
    <row r="348" spans="3:7" ht="15.75" customHeight="1">
      <c r="C348" s="1"/>
      <c r="D348" s="1"/>
      <c r="E348" s="2"/>
      <c r="G348" s="3"/>
    </row>
    <row r="349" spans="3:7" ht="15.75" customHeight="1">
      <c r="C349" s="1"/>
      <c r="D349" s="1"/>
      <c r="E349" s="2"/>
      <c r="G349" s="3"/>
    </row>
    <row r="350" spans="3:7" ht="15.75" customHeight="1">
      <c r="C350" s="1"/>
      <c r="D350" s="1"/>
      <c r="E350" s="2"/>
      <c r="G350" s="3"/>
    </row>
    <row r="351" spans="3:7" ht="15.75" customHeight="1">
      <c r="C351" s="1"/>
      <c r="D351" s="1"/>
      <c r="E351" s="2"/>
      <c r="G351" s="3"/>
    </row>
    <row r="352" spans="3:7" ht="15.75" customHeight="1">
      <c r="C352" s="1"/>
      <c r="D352" s="1"/>
      <c r="E352" s="2"/>
      <c r="G352" s="3"/>
    </row>
    <row r="353" spans="3:7" ht="15.75" customHeight="1">
      <c r="C353" s="1"/>
      <c r="D353" s="1"/>
      <c r="E353" s="2"/>
      <c r="G353" s="3"/>
    </row>
    <row r="354" spans="3:7" ht="15.75" customHeight="1">
      <c r="C354" s="1"/>
      <c r="D354" s="1"/>
      <c r="E354" s="2"/>
      <c r="G354" s="3"/>
    </row>
    <row r="355" spans="3:7" ht="15.75" customHeight="1">
      <c r="C355" s="1"/>
      <c r="D355" s="1"/>
      <c r="E355" s="2"/>
      <c r="G355" s="3"/>
    </row>
    <row r="356" spans="3:7" ht="15.75" customHeight="1">
      <c r="C356" s="1"/>
      <c r="D356" s="1"/>
      <c r="E356" s="2"/>
      <c r="G356" s="3"/>
    </row>
    <row r="357" spans="3:7" ht="15.75" customHeight="1">
      <c r="C357" s="1"/>
      <c r="D357" s="1"/>
      <c r="E357" s="2"/>
      <c r="G357" s="3"/>
    </row>
    <row r="358" spans="3:7" ht="15.75" customHeight="1">
      <c r="C358" s="1"/>
      <c r="D358" s="1"/>
      <c r="E358" s="2"/>
      <c r="G358" s="3"/>
    </row>
    <row r="359" spans="3:7" ht="15.75" customHeight="1">
      <c r="C359" s="1"/>
      <c r="D359" s="1"/>
      <c r="E359" s="2"/>
      <c r="G359" s="3"/>
    </row>
    <row r="360" spans="3:7" ht="15.75" customHeight="1">
      <c r="C360" s="1"/>
      <c r="D360" s="1"/>
      <c r="E360" s="2"/>
      <c r="G360" s="3"/>
    </row>
    <row r="361" spans="3:7" ht="15.75" customHeight="1">
      <c r="C361" s="1"/>
      <c r="D361" s="1"/>
      <c r="E361" s="2"/>
      <c r="G361" s="3"/>
    </row>
    <row r="362" spans="3:7" ht="15.75" customHeight="1">
      <c r="C362" s="1"/>
      <c r="D362" s="1"/>
      <c r="E362" s="2"/>
      <c r="G362" s="3"/>
    </row>
    <row r="363" spans="3:7" ht="15.75" customHeight="1">
      <c r="C363" s="1"/>
      <c r="D363" s="1"/>
      <c r="E363" s="2"/>
      <c r="G363" s="3"/>
    </row>
    <row r="364" spans="3:7" ht="15.75" customHeight="1">
      <c r="C364" s="1"/>
      <c r="D364" s="1"/>
      <c r="E364" s="2"/>
      <c r="G364" s="3"/>
    </row>
    <row r="365" spans="3:7" ht="15.75" customHeight="1">
      <c r="C365" s="1"/>
      <c r="D365" s="1"/>
      <c r="E365" s="2"/>
      <c r="G365" s="3"/>
    </row>
    <row r="366" spans="3:7" ht="15.75" customHeight="1">
      <c r="C366" s="1"/>
      <c r="D366" s="1"/>
      <c r="E366" s="2"/>
      <c r="G366" s="3"/>
    </row>
    <row r="367" spans="3:7" ht="15.75" customHeight="1">
      <c r="C367" s="1"/>
      <c r="D367" s="1"/>
      <c r="E367" s="2"/>
      <c r="G367" s="3"/>
    </row>
    <row r="368" spans="3:7" ht="15.75" customHeight="1">
      <c r="C368" s="1"/>
      <c r="D368" s="1"/>
      <c r="E368" s="2"/>
      <c r="G368" s="3"/>
    </row>
    <row r="369" spans="3:7" ht="15.75" customHeight="1">
      <c r="C369" s="1"/>
      <c r="D369" s="1"/>
      <c r="E369" s="2"/>
      <c r="G369" s="3"/>
    </row>
    <row r="370" spans="3:7" ht="15.75" customHeight="1">
      <c r="C370" s="1"/>
      <c r="D370" s="1"/>
      <c r="E370" s="2"/>
      <c r="G370" s="3"/>
    </row>
    <row r="371" spans="3:7" ht="15.75" customHeight="1">
      <c r="C371" s="1"/>
      <c r="D371" s="1"/>
      <c r="E371" s="2"/>
      <c r="G371" s="3"/>
    </row>
    <row r="372" spans="3:7" ht="15.75" customHeight="1">
      <c r="C372" s="1"/>
      <c r="D372" s="1"/>
      <c r="E372" s="2"/>
      <c r="G372" s="3"/>
    </row>
    <row r="373" spans="3:7" ht="15.75" customHeight="1">
      <c r="C373" s="1"/>
      <c r="D373" s="1"/>
      <c r="E373" s="2"/>
      <c r="G373" s="3"/>
    </row>
    <row r="374" spans="3:7" ht="15.75" customHeight="1">
      <c r="C374" s="1"/>
      <c r="D374" s="1"/>
      <c r="E374" s="2"/>
      <c r="G374" s="3"/>
    </row>
    <row r="375" spans="3:7" ht="15.75" customHeight="1">
      <c r="C375" s="1"/>
      <c r="D375" s="1"/>
      <c r="E375" s="2"/>
      <c r="G375" s="3"/>
    </row>
    <row r="376" spans="3:7" ht="15.75" customHeight="1">
      <c r="C376" s="1"/>
      <c r="D376" s="1"/>
      <c r="E376" s="2"/>
      <c r="G376" s="3"/>
    </row>
    <row r="377" spans="3:7" ht="15.75" customHeight="1">
      <c r="C377" s="1"/>
      <c r="D377" s="1"/>
      <c r="E377" s="2"/>
      <c r="G377" s="3"/>
    </row>
    <row r="378" spans="3:7" ht="15.75" customHeight="1">
      <c r="C378" s="1"/>
      <c r="D378" s="1"/>
      <c r="E378" s="2"/>
      <c r="G378" s="3"/>
    </row>
    <row r="379" spans="3:7" ht="15.75" customHeight="1">
      <c r="C379" s="1"/>
      <c r="D379" s="1"/>
      <c r="E379" s="2"/>
      <c r="G379" s="3"/>
    </row>
    <row r="380" spans="3:7" ht="15.75" customHeight="1">
      <c r="C380" s="1"/>
      <c r="D380" s="1"/>
      <c r="E380" s="2"/>
      <c r="G380" s="3"/>
    </row>
    <row r="381" spans="3:7" ht="15.75" customHeight="1">
      <c r="C381" s="1"/>
      <c r="D381" s="1"/>
      <c r="E381" s="2"/>
      <c r="G381" s="3"/>
    </row>
    <row r="382" spans="3:7" ht="15.75" customHeight="1">
      <c r="C382" s="1"/>
      <c r="D382" s="1"/>
      <c r="E382" s="2"/>
      <c r="G382" s="3"/>
    </row>
    <row r="383" spans="3:7" ht="15.75" customHeight="1">
      <c r="C383" s="1"/>
      <c r="D383" s="1"/>
      <c r="E383" s="2"/>
      <c r="G383" s="3"/>
    </row>
    <row r="384" spans="3:7" ht="15.75" customHeight="1">
      <c r="C384" s="1"/>
      <c r="D384" s="1"/>
      <c r="E384" s="2"/>
      <c r="G384" s="3"/>
    </row>
    <row r="385" spans="3:7" ht="15.75" customHeight="1">
      <c r="C385" s="1"/>
      <c r="D385" s="1"/>
      <c r="E385" s="2"/>
      <c r="G385" s="3"/>
    </row>
    <row r="386" spans="3:7" ht="15.75" customHeight="1">
      <c r="C386" s="1"/>
      <c r="D386" s="1"/>
      <c r="E386" s="2"/>
      <c r="G386" s="3"/>
    </row>
    <row r="387" spans="3:7" ht="15.75" customHeight="1">
      <c r="C387" s="1"/>
      <c r="D387" s="1"/>
      <c r="E387" s="2"/>
      <c r="G387" s="3"/>
    </row>
    <row r="388" spans="3:7" ht="15.75" customHeight="1">
      <c r="C388" s="1"/>
      <c r="D388" s="1"/>
      <c r="E388" s="2"/>
      <c r="G388" s="3"/>
    </row>
    <row r="389" spans="3:7" ht="15.75" customHeight="1">
      <c r="C389" s="1"/>
      <c r="D389" s="1"/>
      <c r="E389" s="2"/>
      <c r="G389" s="3"/>
    </row>
    <row r="390" spans="3:7" ht="15.75" customHeight="1">
      <c r="C390" s="1"/>
      <c r="D390" s="1"/>
      <c r="E390" s="2"/>
      <c r="G390" s="3"/>
    </row>
    <row r="391" spans="3:7" ht="15.75" customHeight="1">
      <c r="C391" s="1"/>
      <c r="D391" s="1"/>
      <c r="E391" s="2"/>
      <c r="G391" s="3"/>
    </row>
    <row r="392" spans="3:7" ht="15.75" customHeight="1">
      <c r="C392" s="1"/>
      <c r="D392" s="1"/>
      <c r="E392" s="2"/>
      <c r="G392" s="3"/>
    </row>
    <row r="393" spans="3:7" ht="15.75" customHeight="1">
      <c r="C393" s="1"/>
      <c r="D393" s="1"/>
      <c r="E393" s="2"/>
      <c r="G393" s="3"/>
    </row>
    <row r="394" spans="3:7" ht="15.75" customHeight="1">
      <c r="C394" s="1"/>
      <c r="D394" s="1"/>
      <c r="E394" s="2"/>
      <c r="G394" s="3"/>
    </row>
    <row r="395" spans="3:7" ht="15.75" customHeight="1">
      <c r="C395" s="1"/>
      <c r="D395" s="1"/>
      <c r="E395" s="2"/>
      <c r="G395" s="3"/>
    </row>
    <row r="396" spans="3:7" ht="15.75" customHeight="1">
      <c r="C396" s="1"/>
      <c r="D396" s="1"/>
      <c r="E396" s="2"/>
      <c r="G396" s="3"/>
    </row>
    <row r="397" spans="3:7" ht="15.75" customHeight="1">
      <c r="C397" s="1"/>
      <c r="D397" s="1"/>
      <c r="E397" s="2"/>
      <c r="G397" s="3"/>
    </row>
    <row r="398" spans="3:7" ht="15.75" customHeight="1">
      <c r="C398" s="1"/>
      <c r="D398" s="1"/>
      <c r="E398" s="2"/>
      <c r="G398" s="3"/>
    </row>
    <row r="399" spans="3:7" ht="15.75" customHeight="1">
      <c r="C399" s="1"/>
      <c r="D399" s="1"/>
      <c r="E399" s="2"/>
      <c r="G399" s="3"/>
    </row>
    <row r="400" spans="3:7" ht="15.75" customHeight="1">
      <c r="C400" s="1"/>
      <c r="D400" s="1"/>
      <c r="E400" s="2"/>
      <c r="G400" s="3"/>
    </row>
    <row r="401" spans="3:7" ht="15.75" customHeight="1">
      <c r="C401" s="1"/>
      <c r="D401" s="1"/>
      <c r="E401" s="2"/>
      <c r="G401" s="3"/>
    </row>
    <row r="402" spans="3:7" ht="15.75" customHeight="1">
      <c r="C402" s="1"/>
      <c r="D402" s="1"/>
      <c r="E402" s="2"/>
      <c r="G402" s="3"/>
    </row>
    <row r="403" spans="3:7" ht="15.75" customHeight="1">
      <c r="C403" s="1"/>
      <c r="D403" s="1"/>
      <c r="E403" s="2"/>
      <c r="G403" s="3"/>
    </row>
    <row r="404" spans="3:7" ht="15.75" customHeight="1">
      <c r="C404" s="1"/>
      <c r="D404" s="1"/>
      <c r="E404" s="2"/>
      <c r="G404" s="3"/>
    </row>
    <row r="405" spans="3:7" ht="15.75" customHeight="1">
      <c r="C405" s="1"/>
      <c r="D405" s="1"/>
      <c r="E405" s="2"/>
      <c r="G405" s="3"/>
    </row>
    <row r="406" spans="3:7" ht="15.75" customHeight="1">
      <c r="C406" s="1"/>
      <c r="D406" s="1"/>
      <c r="E406" s="2"/>
      <c r="G406" s="3"/>
    </row>
    <row r="407" spans="3:7" ht="15.75" customHeight="1">
      <c r="C407" s="1"/>
      <c r="D407" s="1"/>
      <c r="E407" s="2"/>
      <c r="G407" s="3"/>
    </row>
    <row r="408" spans="3:7" ht="15.75" customHeight="1">
      <c r="C408" s="1"/>
      <c r="D408" s="1"/>
      <c r="E408" s="2"/>
      <c r="G408" s="3"/>
    </row>
    <row r="409" spans="3:7" ht="15.75" customHeight="1">
      <c r="C409" s="1"/>
      <c r="D409" s="1"/>
      <c r="E409" s="2"/>
      <c r="G409" s="3"/>
    </row>
    <row r="410" spans="3:7" ht="15.75" customHeight="1">
      <c r="C410" s="1"/>
      <c r="D410" s="1"/>
      <c r="E410" s="2"/>
      <c r="G410" s="3"/>
    </row>
    <row r="411" spans="3:7" ht="15.75" customHeight="1">
      <c r="C411" s="1"/>
      <c r="D411" s="1"/>
      <c r="E411" s="2"/>
      <c r="G411" s="3"/>
    </row>
    <row r="412" spans="3:7" ht="15.75" customHeight="1">
      <c r="C412" s="1"/>
      <c r="D412" s="1"/>
      <c r="E412" s="2"/>
      <c r="G412" s="3"/>
    </row>
    <row r="413" spans="3:7" ht="15.75" customHeight="1">
      <c r="C413" s="1"/>
      <c r="D413" s="1"/>
      <c r="E413" s="2"/>
      <c r="G413" s="3"/>
    </row>
    <row r="414" spans="3:7" ht="15.75" customHeight="1">
      <c r="C414" s="1"/>
      <c r="D414" s="1"/>
      <c r="E414" s="2"/>
      <c r="G414" s="3"/>
    </row>
    <row r="415" spans="3:7" ht="15.75" customHeight="1">
      <c r="C415" s="1"/>
      <c r="D415" s="1"/>
      <c r="E415" s="2"/>
      <c r="G415" s="3"/>
    </row>
    <row r="416" spans="3:7" ht="15.75" customHeight="1">
      <c r="C416" s="1"/>
      <c r="D416" s="1"/>
      <c r="E416" s="2"/>
      <c r="G416" s="3"/>
    </row>
    <row r="417" spans="3:7" ht="15.75" customHeight="1">
      <c r="C417" s="1"/>
      <c r="D417" s="1"/>
      <c r="E417" s="2"/>
      <c r="G417" s="3"/>
    </row>
    <row r="418" spans="3:7" ht="15.75" customHeight="1">
      <c r="C418" s="1"/>
      <c r="D418" s="1"/>
      <c r="E418" s="2"/>
      <c r="G418" s="3"/>
    </row>
    <row r="419" spans="3:7" ht="15.75" customHeight="1">
      <c r="C419" s="1"/>
      <c r="D419" s="1"/>
      <c r="E419" s="2"/>
      <c r="G419" s="3"/>
    </row>
    <row r="420" spans="3:7" ht="15.75" customHeight="1">
      <c r="C420" s="1"/>
      <c r="D420" s="1"/>
      <c r="E420" s="2"/>
      <c r="G420" s="3"/>
    </row>
    <row r="421" spans="3:7" ht="15.75" customHeight="1">
      <c r="C421" s="1"/>
      <c r="D421" s="1"/>
      <c r="E421" s="2"/>
      <c r="G421" s="3"/>
    </row>
    <row r="422" spans="3:7" ht="15.75" customHeight="1">
      <c r="C422" s="1"/>
      <c r="D422" s="1"/>
      <c r="E422" s="2"/>
      <c r="G422" s="3"/>
    </row>
    <row r="423" spans="3:7" ht="15.75" customHeight="1">
      <c r="C423" s="1"/>
      <c r="D423" s="1"/>
      <c r="E423" s="2"/>
      <c r="G423" s="3"/>
    </row>
    <row r="424" spans="3:7" ht="15.75" customHeight="1">
      <c r="C424" s="1"/>
      <c r="D424" s="1"/>
      <c r="E424" s="2"/>
      <c r="G424" s="3"/>
    </row>
    <row r="425" spans="3:7" ht="15.75" customHeight="1">
      <c r="C425" s="1"/>
      <c r="D425" s="1"/>
      <c r="E425" s="2"/>
      <c r="G425" s="3"/>
    </row>
    <row r="426" spans="3:7" ht="15.75" customHeight="1">
      <c r="C426" s="1"/>
      <c r="D426" s="1"/>
      <c r="E426" s="2"/>
      <c r="G426" s="3"/>
    </row>
    <row r="427" spans="3:7" ht="15.75" customHeight="1">
      <c r="C427" s="1"/>
      <c r="D427" s="1"/>
      <c r="E427" s="2"/>
      <c r="G427" s="3"/>
    </row>
    <row r="428" spans="3:7" ht="15.75" customHeight="1">
      <c r="C428" s="1"/>
      <c r="D428" s="1"/>
      <c r="E428" s="2"/>
      <c r="G428" s="3"/>
    </row>
    <row r="429" spans="3:7" ht="15.75" customHeight="1">
      <c r="C429" s="1"/>
      <c r="D429" s="1"/>
      <c r="E429" s="2"/>
      <c r="G429" s="3"/>
    </row>
    <row r="430" spans="3:7" ht="15.75" customHeight="1">
      <c r="C430" s="1"/>
      <c r="D430" s="1"/>
      <c r="E430" s="2"/>
      <c r="G430" s="3"/>
    </row>
    <row r="431" spans="3:7" ht="15.75" customHeight="1">
      <c r="C431" s="1"/>
      <c r="D431" s="1"/>
      <c r="E431" s="2"/>
      <c r="G431" s="3"/>
    </row>
    <row r="432" spans="3:7" ht="15.75" customHeight="1">
      <c r="C432" s="1"/>
      <c r="D432" s="1"/>
      <c r="E432" s="2"/>
      <c r="G432" s="3"/>
    </row>
    <row r="433" spans="3:7" ht="15.75" customHeight="1">
      <c r="C433" s="1"/>
      <c r="D433" s="1"/>
      <c r="E433" s="2"/>
      <c r="G433" s="3"/>
    </row>
    <row r="434" spans="3:7" ht="15.75" customHeight="1">
      <c r="C434" s="1"/>
      <c r="D434" s="1"/>
      <c r="E434" s="2"/>
      <c r="G434" s="3"/>
    </row>
    <row r="435" spans="3:7" ht="15.75" customHeight="1">
      <c r="C435" s="1"/>
      <c r="D435" s="1"/>
      <c r="E435" s="2"/>
      <c r="G435" s="3"/>
    </row>
    <row r="436" spans="3:7" ht="15.75" customHeight="1">
      <c r="C436" s="1"/>
      <c r="D436" s="1"/>
      <c r="E436" s="2"/>
      <c r="G436" s="3"/>
    </row>
    <row r="437" spans="3:7" ht="15.75" customHeight="1">
      <c r="C437" s="1"/>
      <c r="D437" s="1"/>
      <c r="E437" s="2"/>
      <c r="G437" s="3"/>
    </row>
    <row r="438" spans="3:7" ht="15.75" customHeight="1">
      <c r="C438" s="1"/>
      <c r="D438" s="1"/>
      <c r="E438" s="2"/>
      <c r="G438" s="3"/>
    </row>
    <row r="439" spans="3:7" ht="15.75" customHeight="1">
      <c r="C439" s="1"/>
      <c r="D439" s="1"/>
      <c r="E439" s="2"/>
      <c r="G439" s="3"/>
    </row>
    <row r="440" spans="3:7" ht="15.75" customHeight="1">
      <c r="C440" s="1"/>
      <c r="D440" s="1"/>
      <c r="E440" s="2"/>
      <c r="G440" s="3"/>
    </row>
    <row r="441" spans="3:7" ht="15.75" customHeight="1">
      <c r="C441" s="1"/>
      <c r="D441" s="1"/>
      <c r="E441" s="2"/>
      <c r="G441" s="3"/>
    </row>
    <row r="442" spans="3:7" ht="15.75" customHeight="1">
      <c r="C442" s="1"/>
      <c r="D442" s="1"/>
      <c r="E442" s="2"/>
      <c r="G442" s="3"/>
    </row>
    <row r="443" spans="3:7" ht="15.75" customHeight="1">
      <c r="C443" s="1"/>
      <c r="D443" s="1"/>
      <c r="E443" s="2"/>
      <c r="G443" s="3"/>
    </row>
    <row r="444" spans="3:7" ht="15.75" customHeight="1">
      <c r="C444" s="1"/>
      <c r="D444" s="1"/>
      <c r="E444" s="2"/>
      <c r="G444" s="3"/>
    </row>
    <row r="445" spans="3:7" ht="15.75" customHeight="1">
      <c r="C445" s="1"/>
      <c r="D445" s="1"/>
      <c r="E445" s="2"/>
      <c r="G445" s="3"/>
    </row>
    <row r="446" spans="3:7" ht="15.75" customHeight="1">
      <c r="C446" s="1"/>
      <c r="D446" s="1"/>
      <c r="E446" s="2"/>
      <c r="G446" s="3"/>
    </row>
    <row r="447" spans="3:7" ht="15.75" customHeight="1">
      <c r="C447" s="1"/>
      <c r="D447" s="1"/>
      <c r="E447" s="2"/>
      <c r="G447" s="3"/>
    </row>
    <row r="448" spans="3:7" ht="15.75" customHeight="1">
      <c r="C448" s="1"/>
      <c r="D448" s="1"/>
      <c r="E448" s="2"/>
      <c r="G448" s="3"/>
    </row>
    <row r="449" spans="3:7" ht="15.75" customHeight="1">
      <c r="C449" s="1"/>
      <c r="D449" s="1"/>
      <c r="E449" s="2"/>
      <c r="G449" s="3"/>
    </row>
    <row r="450" spans="3:7" ht="15.75" customHeight="1">
      <c r="C450" s="1"/>
      <c r="D450" s="1"/>
      <c r="E450" s="2"/>
      <c r="G450" s="3"/>
    </row>
    <row r="451" spans="3:7" ht="15.75" customHeight="1">
      <c r="C451" s="1"/>
      <c r="D451" s="1"/>
      <c r="E451" s="2"/>
      <c r="G451" s="3"/>
    </row>
    <row r="452" spans="3:7" ht="15.75" customHeight="1">
      <c r="C452" s="1"/>
      <c r="D452" s="1"/>
      <c r="E452" s="2"/>
      <c r="G452" s="3"/>
    </row>
    <row r="453" spans="3:7" ht="15.75" customHeight="1">
      <c r="C453" s="1"/>
      <c r="D453" s="1"/>
      <c r="E453" s="2"/>
      <c r="G453" s="3"/>
    </row>
    <row r="454" spans="3:7" ht="15.75" customHeight="1">
      <c r="C454" s="1"/>
      <c r="D454" s="1"/>
      <c r="E454" s="2"/>
      <c r="G454" s="3"/>
    </row>
    <row r="455" spans="3:7" ht="15.75" customHeight="1">
      <c r="C455" s="1"/>
      <c r="D455" s="1"/>
      <c r="E455" s="2"/>
      <c r="G455" s="3"/>
    </row>
    <row r="456" spans="3:7" ht="15.75" customHeight="1">
      <c r="C456" s="1"/>
      <c r="D456" s="1"/>
      <c r="E456" s="2"/>
      <c r="G456" s="3"/>
    </row>
    <row r="457" spans="3:7" ht="15.75" customHeight="1">
      <c r="C457" s="1"/>
      <c r="D457" s="1"/>
      <c r="E457" s="2"/>
      <c r="G457" s="3"/>
    </row>
    <row r="458" spans="3:7" ht="15.75" customHeight="1">
      <c r="C458" s="1"/>
      <c r="D458" s="1"/>
      <c r="E458" s="2"/>
      <c r="G458" s="3"/>
    </row>
    <row r="459" spans="3:7" ht="15.75" customHeight="1">
      <c r="C459" s="1"/>
      <c r="D459" s="1"/>
      <c r="E459" s="2"/>
      <c r="G459" s="3"/>
    </row>
    <row r="460" spans="3:7" ht="15.75" customHeight="1">
      <c r="C460" s="1"/>
      <c r="D460" s="1"/>
      <c r="E460" s="2"/>
      <c r="G460" s="3"/>
    </row>
    <row r="461" spans="3:7" ht="15.75" customHeight="1">
      <c r="C461" s="1"/>
      <c r="D461" s="1"/>
      <c r="E461" s="2"/>
      <c r="G461" s="3"/>
    </row>
    <row r="462" spans="3:7" ht="15.75" customHeight="1">
      <c r="C462" s="1"/>
      <c r="D462" s="1"/>
      <c r="E462" s="2"/>
      <c r="G462" s="3"/>
    </row>
    <row r="463" spans="3:7" ht="15.75" customHeight="1">
      <c r="C463" s="1"/>
      <c r="D463" s="1"/>
      <c r="E463" s="2"/>
      <c r="G463" s="3"/>
    </row>
    <row r="464" spans="3:7" ht="15.75" customHeight="1">
      <c r="C464" s="1"/>
      <c r="D464" s="1"/>
      <c r="E464" s="2"/>
      <c r="G464" s="3"/>
    </row>
    <row r="465" spans="3:7" ht="15.75" customHeight="1">
      <c r="C465" s="1"/>
      <c r="D465" s="1"/>
      <c r="E465" s="2"/>
      <c r="G465" s="3"/>
    </row>
    <row r="466" spans="3:7" ht="15.75" customHeight="1">
      <c r="C466" s="1"/>
      <c r="D466" s="1"/>
      <c r="E466" s="2"/>
      <c r="G466" s="3"/>
    </row>
    <row r="467" spans="3:7" ht="15.75" customHeight="1">
      <c r="C467" s="1"/>
      <c r="D467" s="1"/>
      <c r="E467" s="2"/>
      <c r="G467" s="3"/>
    </row>
    <row r="468" spans="3:7" ht="15.75" customHeight="1">
      <c r="C468" s="1"/>
      <c r="D468" s="1"/>
      <c r="E468" s="2"/>
      <c r="G468" s="3"/>
    </row>
    <row r="469" spans="3:7" ht="15.75" customHeight="1">
      <c r="C469" s="1"/>
      <c r="D469" s="1"/>
      <c r="E469" s="2"/>
      <c r="G469" s="3"/>
    </row>
    <row r="470" spans="3:7" ht="15.75" customHeight="1">
      <c r="C470" s="1"/>
      <c r="D470" s="1"/>
      <c r="E470" s="2"/>
      <c r="G470" s="3"/>
    </row>
    <row r="471" spans="3:7" ht="15.75" customHeight="1">
      <c r="C471" s="1"/>
      <c r="D471" s="1"/>
      <c r="E471" s="2"/>
      <c r="G471" s="3"/>
    </row>
    <row r="472" spans="3:7" ht="15.75" customHeight="1">
      <c r="C472" s="1"/>
      <c r="D472" s="1"/>
      <c r="E472" s="2"/>
      <c r="G472" s="3"/>
    </row>
    <row r="473" spans="3:7" ht="15.75" customHeight="1">
      <c r="C473" s="1"/>
      <c r="D473" s="1"/>
      <c r="E473" s="2"/>
      <c r="G473" s="3"/>
    </row>
    <row r="474" spans="3:7" ht="15.75" customHeight="1">
      <c r="C474" s="1"/>
      <c r="D474" s="1"/>
      <c r="E474" s="2"/>
      <c r="G474" s="3"/>
    </row>
    <row r="475" spans="3:7" ht="15.75" customHeight="1">
      <c r="C475" s="1"/>
      <c r="D475" s="1"/>
      <c r="E475" s="2"/>
      <c r="G475" s="3"/>
    </row>
    <row r="476" spans="3:7" ht="15.75" customHeight="1">
      <c r="C476" s="1"/>
      <c r="D476" s="1"/>
      <c r="E476" s="2"/>
      <c r="G476" s="3"/>
    </row>
    <row r="477" spans="3:7" ht="15.75" customHeight="1">
      <c r="C477" s="1"/>
      <c r="D477" s="1"/>
      <c r="E477" s="2"/>
      <c r="G477" s="3"/>
    </row>
    <row r="478" spans="3:7" ht="15.75" customHeight="1">
      <c r="C478" s="1"/>
      <c r="D478" s="1"/>
      <c r="E478" s="2"/>
      <c r="G478" s="3"/>
    </row>
    <row r="479" spans="3:7" ht="15.75" customHeight="1">
      <c r="C479" s="1"/>
      <c r="D479" s="1"/>
      <c r="E479" s="2"/>
      <c r="G479" s="3"/>
    </row>
    <row r="480" spans="3:7" ht="15.75" customHeight="1">
      <c r="C480" s="1"/>
      <c r="D480" s="1"/>
      <c r="E480" s="2"/>
      <c r="G480" s="3"/>
    </row>
    <row r="481" spans="3:7" ht="15.75" customHeight="1">
      <c r="C481" s="1"/>
      <c r="D481" s="1"/>
      <c r="E481" s="2"/>
      <c r="G481" s="3"/>
    </row>
    <row r="482" spans="3:7" ht="15.75" customHeight="1">
      <c r="C482" s="1"/>
      <c r="D482" s="1"/>
      <c r="E482" s="2"/>
      <c r="G482" s="3"/>
    </row>
    <row r="483" spans="3:7" ht="15.75" customHeight="1">
      <c r="C483" s="1"/>
      <c r="D483" s="1"/>
      <c r="E483" s="2"/>
      <c r="G483" s="3"/>
    </row>
    <row r="484" spans="3:7" ht="15.75" customHeight="1">
      <c r="C484" s="1"/>
      <c r="D484" s="1"/>
      <c r="E484" s="2"/>
      <c r="G484" s="3"/>
    </row>
    <row r="485" spans="3:7" ht="15.75" customHeight="1">
      <c r="C485" s="1"/>
      <c r="D485" s="1"/>
      <c r="E485" s="2"/>
      <c r="G485" s="3"/>
    </row>
    <row r="486" spans="3:7" ht="15.75" customHeight="1">
      <c r="C486" s="1"/>
      <c r="D486" s="1"/>
      <c r="E486" s="2"/>
      <c r="G486" s="3"/>
    </row>
    <row r="487" spans="3:7" ht="15.75" customHeight="1">
      <c r="C487" s="1"/>
      <c r="D487" s="1"/>
      <c r="E487" s="2"/>
      <c r="G487" s="3"/>
    </row>
    <row r="488" spans="3:7" ht="15.75" customHeight="1">
      <c r="C488" s="1"/>
      <c r="D488" s="1"/>
      <c r="E488" s="2"/>
      <c r="G488" s="3"/>
    </row>
    <row r="489" spans="3:7" ht="15.75" customHeight="1">
      <c r="C489" s="1"/>
      <c r="D489" s="1"/>
      <c r="E489" s="2"/>
      <c r="G489" s="3"/>
    </row>
    <row r="490" spans="3:7" ht="15.75" customHeight="1">
      <c r="C490" s="1"/>
      <c r="D490" s="1"/>
      <c r="E490" s="2"/>
      <c r="G490" s="3"/>
    </row>
    <row r="491" spans="3:7" ht="15.75" customHeight="1">
      <c r="C491" s="1"/>
      <c r="D491" s="1"/>
      <c r="E491" s="2"/>
      <c r="G491" s="3"/>
    </row>
    <row r="492" spans="3:7" ht="15.75" customHeight="1">
      <c r="C492" s="1"/>
      <c r="D492" s="1"/>
      <c r="E492" s="2"/>
      <c r="G492" s="3"/>
    </row>
    <row r="493" spans="3:7" ht="15.75" customHeight="1">
      <c r="C493" s="1"/>
      <c r="D493" s="1"/>
      <c r="E493" s="2"/>
      <c r="G493" s="3"/>
    </row>
    <row r="494" spans="3:7" ht="15.75" customHeight="1">
      <c r="C494" s="1"/>
      <c r="D494" s="1"/>
      <c r="E494" s="2"/>
      <c r="G494" s="3"/>
    </row>
    <row r="495" spans="3:7" ht="15.75" customHeight="1">
      <c r="C495" s="1"/>
      <c r="D495" s="1"/>
      <c r="E495" s="2"/>
      <c r="G495" s="3"/>
    </row>
    <row r="496" spans="3:7" ht="15.75" customHeight="1">
      <c r="C496" s="1"/>
      <c r="D496" s="1"/>
      <c r="E496" s="2"/>
      <c r="G496" s="3"/>
    </row>
    <row r="497" spans="3:7" ht="15.75" customHeight="1">
      <c r="C497" s="1"/>
      <c r="D497" s="1"/>
      <c r="E497" s="2"/>
      <c r="G497" s="3"/>
    </row>
    <row r="498" spans="3:7" ht="15.75" customHeight="1">
      <c r="C498" s="1"/>
      <c r="D498" s="1"/>
      <c r="E498" s="2"/>
      <c r="G498" s="3"/>
    </row>
    <row r="499" spans="3:7" ht="15.75" customHeight="1">
      <c r="C499" s="1"/>
      <c r="D499" s="1"/>
      <c r="E499" s="2"/>
      <c r="G499" s="3"/>
    </row>
    <row r="500" spans="3:7" ht="15.75" customHeight="1">
      <c r="C500" s="1"/>
      <c r="D500" s="1"/>
      <c r="E500" s="2"/>
      <c r="G500" s="3"/>
    </row>
    <row r="501" spans="3:7" ht="15.75" customHeight="1">
      <c r="C501" s="1"/>
      <c r="D501" s="1"/>
      <c r="E501" s="2"/>
      <c r="G501" s="3"/>
    </row>
    <row r="502" spans="3:7" ht="15.75" customHeight="1">
      <c r="C502" s="1"/>
      <c r="D502" s="1"/>
      <c r="E502" s="2"/>
      <c r="G502" s="3"/>
    </row>
    <row r="503" spans="3:7" ht="15.75" customHeight="1">
      <c r="C503" s="1"/>
      <c r="D503" s="1"/>
      <c r="E503" s="2"/>
      <c r="G503" s="3"/>
    </row>
    <row r="504" spans="3:7" ht="15.75" customHeight="1">
      <c r="C504" s="1"/>
      <c r="D504" s="1"/>
      <c r="E504" s="2"/>
      <c r="G504" s="3"/>
    </row>
    <row r="505" spans="3:7" ht="15.75" customHeight="1">
      <c r="C505" s="1"/>
      <c r="D505" s="1"/>
      <c r="E505" s="2"/>
      <c r="G505" s="3"/>
    </row>
    <row r="506" spans="3:7" ht="15.75" customHeight="1">
      <c r="C506" s="1"/>
      <c r="D506" s="1"/>
      <c r="E506" s="2"/>
      <c r="G506" s="3"/>
    </row>
    <row r="507" spans="3:7" ht="15.75" customHeight="1">
      <c r="C507" s="1"/>
      <c r="D507" s="1"/>
      <c r="E507" s="2"/>
      <c r="G507" s="3"/>
    </row>
    <row r="508" spans="3:7" ht="15.75" customHeight="1">
      <c r="C508" s="1"/>
      <c r="D508" s="1"/>
      <c r="E508" s="2"/>
      <c r="G508" s="3"/>
    </row>
    <row r="509" spans="3:7" ht="15.75" customHeight="1">
      <c r="C509" s="1"/>
      <c r="D509" s="1"/>
      <c r="E509" s="2"/>
      <c r="G509" s="3"/>
    </row>
    <row r="510" spans="3:7" ht="15.75" customHeight="1">
      <c r="C510" s="1"/>
      <c r="D510" s="1"/>
      <c r="E510" s="2"/>
      <c r="G510" s="3"/>
    </row>
    <row r="511" spans="3:7" ht="15.75" customHeight="1">
      <c r="C511" s="1"/>
      <c r="D511" s="1"/>
      <c r="E511" s="2"/>
      <c r="G511" s="3"/>
    </row>
    <row r="512" spans="3:7" ht="15.75" customHeight="1">
      <c r="C512" s="1"/>
      <c r="D512" s="1"/>
      <c r="E512" s="2"/>
      <c r="G512" s="3"/>
    </row>
    <row r="513" spans="3:7" ht="15.75" customHeight="1">
      <c r="C513" s="1"/>
      <c r="D513" s="1"/>
      <c r="E513" s="2"/>
      <c r="G513" s="3"/>
    </row>
    <row r="514" spans="3:7" ht="15.75" customHeight="1">
      <c r="C514" s="1"/>
      <c r="D514" s="1"/>
      <c r="E514" s="2"/>
      <c r="G514" s="3"/>
    </row>
    <row r="515" spans="3:7" ht="15.75" customHeight="1">
      <c r="C515" s="1"/>
      <c r="D515" s="1"/>
      <c r="E515" s="2"/>
      <c r="G515" s="3"/>
    </row>
    <row r="516" spans="3:7" ht="15.75" customHeight="1">
      <c r="C516" s="1"/>
      <c r="D516" s="1"/>
      <c r="E516" s="2"/>
      <c r="G516" s="3"/>
    </row>
    <row r="517" spans="3:7" ht="15.75" customHeight="1">
      <c r="C517" s="1"/>
      <c r="D517" s="1"/>
      <c r="E517" s="2"/>
      <c r="G517" s="3"/>
    </row>
    <row r="518" spans="3:7" ht="15.75" customHeight="1">
      <c r="C518" s="1"/>
      <c r="D518" s="1"/>
      <c r="E518" s="2"/>
      <c r="G518" s="3"/>
    </row>
    <row r="519" spans="3:7" ht="15.75" customHeight="1">
      <c r="C519" s="1"/>
      <c r="D519" s="1"/>
      <c r="E519" s="2"/>
      <c r="G519" s="3"/>
    </row>
    <row r="520" spans="3:7" ht="15.75" customHeight="1">
      <c r="C520" s="1"/>
      <c r="D520" s="1"/>
      <c r="E520" s="2"/>
      <c r="G520" s="3"/>
    </row>
    <row r="521" spans="3:7" ht="15.75" customHeight="1">
      <c r="C521" s="1"/>
      <c r="D521" s="1"/>
      <c r="E521" s="2"/>
      <c r="G521" s="3"/>
    </row>
    <row r="522" spans="3:7" ht="15.75" customHeight="1">
      <c r="C522" s="1"/>
      <c r="D522" s="1"/>
      <c r="E522" s="2"/>
      <c r="G522" s="3"/>
    </row>
    <row r="523" spans="3:7" ht="15.75" customHeight="1">
      <c r="C523" s="1"/>
      <c r="D523" s="1"/>
      <c r="E523" s="2"/>
      <c r="G523" s="3"/>
    </row>
    <row r="524" spans="3:7" ht="15.75" customHeight="1">
      <c r="C524" s="1"/>
      <c r="D524" s="1"/>
      <c r="E524" s="2"/>
      <c r="G524" s="3"/>
    </row>
    <row r="525" spans="3:7" ht="15.75" customHeight="1">
      <c r="C525" s="1"/>
      <c r="D525" s="1"/>
      <c r="E525" s="2"/>
      <c r="G525" s="3"/>
    </row>
    <row r="526" spans="3:7" ht="15.75" customHeight="1">
      <c r="C526" s="1"/>
      <c r="D526" s="1"/>
      <c r="E526" s="2"/>
      <c r="G526" s="3"/>
    </row>
    <row r="527" spans="3:7" ht="15.75" customHeight="1">
      <c r="C527" s="1"/>
      <c r="D527" s="1"/>
      <c r="E527" s="2"/>
      <c r="G527" s="3"/>
    </row>
    <row r="528" spans="3:7" ht="15.75" customHeight="1">
      <c r="C528" s="1"/>
      <c r="D528" s="1"/>
      <c r="E528" s="2"/>
      <c r="G528" s="3"/>
    </row>
    <row r="529" spans="3:7" ht="15.75" customHeight="1">
      <c r="C529" s="1"/>
      <c r="D529" s="1"/>
      <c r="E529" s="2"/>
      <c r="G529" s="3"/>
    </row>
    <row r="530" spans="3:7" ht="15.75" customHeight="1">
      <c r="C530" s="1"/>
      <c r="D530" s="1"/>
      <c r="E530" s="2"/>
      <c r="G530" s="3"/>
    </row>
    <row r="531" spans="3:7" ht="15.75" customHeight="1">
      <c r="C531" s="1"/>
      <c r="D531" s="1"/>
      <c r="E531" s="2"/>
      <c r="G531" s="3"/>
    </row>
    <row r="532" spans="3:7" ht="15.75" customHeight="1">
      <c r="C532" s="1"/>
      <c r="D532" s="1"/>
      <c r="E532" s="2"/>
      <c r="G532" s="3"/>
    </row>
    <row r="533" spans="3:7" ht="15.75" customHeight="1">
      <c r="C533" s="1"/>
      <c r="D533" s="1"/>
      <c r="E533" s="2"/>
      <c r="G533" s="3"/>
    </row>
    <row r="534" spans="3:7" ht="15.75" customHeight="1">
      <c r="C534" s="1"/>
      <c r="D534" s="1"/>
      <c r="E534" s="2"/>
      <c r="G534" s="3"/>
    </row>
    <row r="535" spans="3:7" ht="15.75" customHeight="1">
      <c r="C535" s="1"/>
      <c r="D535" s="1"/>
      <c r="E535" s="2"/>
      <c r="G535" s="3"/>
    </row>
    <row r="536" spans="3:7" ht="15.75" customHeight="1">
      <c r="C536" s="1"/>
      <c r="D536" s="1"/>
      <c r="E536" s="2"/>
      <c r="G536" s="3"/>
    </row>
    <row r="537" spans="3:7" ht="15.75" customHeight="1">
      <c r="C537" s="1"/>
      <c r="D537" s="1"/>
      <c r="E537" s="2"/>
      <c r="G537" s="3"/>
    </row>
    <row r="538" spans="3:7" ht="15.75" customHeight="1">
      <c r="C538" s="1"/>
      <c r="D538" s="1"/>
      <c r="E538" s="2"/>
      <c r="G538" s="3"/>
    </row>
    <row r="539" spans="3:7" ht="15.75" customHeight="1">
      <c r="C539" s="1"/>
      <c r="D539" s="1"/>
      <c r="E539" s="2"/>
      <c r="G539" s="3"/>
    </row>
    <row r="540" spans="3:7" ht="15.75" customHeight="1">
      <c r="C540" s="1"/>
      <c r="D540" s="1"/>
      <c r="E540" s="2"/>
      <c r="G540" s="3"/>
    </row>
    <row r="541" spans="3:7" ht="15.75" customHeight="1">
      <c r="C541" s="1"/>
      <c r="D541" s="1"/>
      <c r="E541" s="2"/>
      <c r="G541" s="3"/>
    </row>
    <row r="542" spans="3:7" ht="15.75" customHeight="1">
      <c r="C542" s="1"/>
      <c r="D542" s="1"/>
      <c r="E542" s="2"/>
      <c r="G542" s="3"/>
    </row>
    <row r="543" spans="3:7" ht="15.75" customHeight="1">
      <c r="C543" s="1"/>
      <c r="D543" s="1"/>
      <c r="E543" s="2"/>
      <c r="G543" s="3"/>
    </row>
    <row r="544" spans="3:7" ht="15.75" customHeight="1">
      <c r="C544" s="1"/>
      <c r="D544" s="1"/>
      <c r="E544" s="2"/>
      <c r="G544" s="3"/>
    </row>
    <row r="545" spans="3:7" ht="15.75" customHeight="1">
      <c r="C545" s="1"/>
      <c r="D545" s="1"/>
      <c r="E545" s="2"/>
      <c r="G545" s="3"/>
    </row>
    <row r="546" spans="3:7" ht="15.75" customHeight="1">
      <c r="C546" s="1"/>
      <c r="D546" s="1"/>
      <c r="E546" s="2"/>
      <c r="G546" s="3"/>
    </row>
    <row r="547" spans="3:7" ht="15.75" customHeight="1">
      <c r="C547" s="1"/>
      <c r="D547" s="1"/>
      <c r="E547" s="2"/>
      <c r="G547" s="3"/>
    </row>
    <row r="548" spans="3:7" ht="15.75" customHeight="1">
      <c r="C548" s="1"/>
      <c r="D548" s="1"/>
      <c r="E548" s="2"/>
      <c r="G548" s="3"/>
    </row>
    <row r="549" spans="3:7" ht="15.75" customHeight="1">
      <c r="C549" s="1"/>
      <c r="D549" s="1"/>
      <c r="E549" s="2"/>
      <c r="G549" s="3"/>
    </row>
    <row r="550" spans="3:7" ht="15.75" customHeight="1">
      <c r="C550" s="1"/>
      <c r="D550" s="1"/>
      <c r="E550" s="2"/>
      <c r="G550" s="3"/>
    </row>
    <row r="551" spans="3:7" ht="15.75" customHeight="1">
      <c r="C551" s="1"/>
      <c r="D551" s="1"/>
      <c r="E551" s="2"/>
      <c r="G551" s="3"/>
    </row>
    <row r="552" spans="3:7" ht="15.75" customHeight="1">
      <c r="C552" s="1"/>
      <c r="D552" s="1"/>
      <c r="E552" s="2"/>
      <c r="G552" s="3"/>
    </row>
    <row r="553" spans="3:7" ht="15.75" customHeight="1">
      <c r="C553" s="1"/>
      <c r="D553" s="1"/>
      <c r="E553" s="2"/>
      <c r="G553" s="3"/>
    </row>
    <row r="554" spans="3:7" ht="15.75" customHeight="1">
      <c r="C554" s="1"/>
      <c r="D554" s="1"/>
      <c r="E554" s="2"/>
      <c r="G554" s="3"/>
    </row>
    <row r="555" spans="3:7" ht="15.75" customHeight="1">
      <c r="C555" s="1"/>
      <c r="D555" s="1"/>
      <c r="E555" s="2"/>
      <c r="G555" s="3"/>
    </row>
    <row r="556" spans="3:7" ht="15.75" customHeight="1">
      <c r="C556" s="1"/>
      <c r="D556" s="1"/>
      <c r="E556" s="2"/>
      <c r="G556" s="3"/>
    </row>
    <row r="557" spans="3:7" ht="15.75" customHeight="1">
      <c r="C557" s="1"/>
      <c r="D557" s="1"/>
      <c r="E557" s="2"/>
      <c r="G557" s="3"/>
    </row>
    <row r="558" spans="3:7" ht="15.75" customHeight="1">
      <c r="C558" s="1"/>
      <c r="D558" s="1"/>
      <c r="E558" s="2"/>
      <c r="G558" s="3"/>
    </row>
    <row r="559" spans="3:7" ht="15.75" customHeight="1">
      <c r="C559" s="1"/>
      <c r="D559" s="1"/>
      <c r="E559" s="2"/>
      <c r="G559" s="3"/>
    </row>
    <row r="560" spans="3:7" ht="15.75" customHeight="1">
      <c r="C560" s="1"/>
      <c r="D560" s="1"/>
      <c r="E560" s="2"/>
      <c r="G560" s="3"/>
    </row>
    <row r="561" spans="3:7" ht="15.75" customHeight="1">
      <c r="C561" s="1"/>
      <c r="D561" s="1"/>
      <c r="E561" s="2"/>
      <c r="G561" s="3"/>
    </row>
    <row r="562" spans="3:7" ht="15.75" customHeight="1">
      <c r="C562" s="1"/>
      <c r="D562" s="1"/>
      <c r="E562" s="2"/>
      <c r="G562" s="3"/>
    </row>
    <row r="563" spans="3:7" ht="15.75" customHeight="1">
      <c r="C563" s="1"/>
      <c r="D563" s="1"/>
      <c r="E563" s="2"/>
      <c r="G563" s="3"/>
    </row>
    <row r="564" spans="3:7" ht="15.75" customHeight="1">
      <c r="C564" s="1"/>
      <c r="D564" s="1"/>
      <c r="E564" s="2"/>
      <c r="G564" s="3"/>
    </row>
    <row r="565" spans="3:7" ht="15.75" customHeight="1">
      <c r="C565" s="1"/>
      <c r="D565" s="1"/>
      <c r="E565" s="2"/>
      <c r="G565" s="3"/>
    </row>
    <row r="566" spans="3:7" ht="15.75" customHeight="1">
      <c r="C566" s="1"/>
      <c r="D566" s="1"/>
      <c r="E566" s="2"/>
      <c r="G566" s="3"/>
    </row>
    <row r="567" spans="3:7" ht="15.75" customHeight="1">
      <c r="C567" s="1"/>
      <c r="D567" s="1"/>
      <c r="E567" s="2"/>
      <c r="G567" s="3"/>
    </row>
    <row r="568" spans="3:7" ht="15.75" customHeight="1">
      <c r="C568" s="1"/>
      <c r="D568" s="1"/>
      <c r="E568" s="2"/>
      <c r="G568" s="3"/>
    </row>
    <row r="569" spans="3:7" ht="15.75" customHeight="1">
      <c r="C569" s="1"/>
      <c r="D569" s="1"/>
      <c r="E569" s="2"/>
      <c r="G569" s="3"/>
    </row>
    <row r="570" spans="3:7" ht="15.75" customHeight="1">
      <c r="C570" s="1"/>
      <c r="D570" s="1"/>
      <c r="E570" s="2"/>
      <c r="G570" s="3"/>
    </row>
    <row r="571" spans="3:7" ht="15.75" customHeight="1">
      <c r="C571" s="1"/>
      <c r="D571" s="1"/>
      <c r="E571" s="2"/>
      <c r="G571" s="3"/>
    </row>
    <row r="572" spans="3:7" ht="15.75" customHeight="1">
      <c r="C572" s="1"/>
      <c r="D572" s="1"/>
      <c r="E572" s="2"/>
      <c r="G572" s="3"/>
    </row>
    <row r="573" spans="3:7" ht="15.75" customHeight="1">
      <c r="C573" s="1"/>
      <c r="D573" s="1"/>
      <c r="E573" s="2"/>
      <c r="G573" s="3"/>
    </row>
    <row r="574" spans="3:7" ht="15.75" customHeight="1">
      <c r="C574" s="1"/>
      <c r="D574" s="1"/>
      <c r="E574" s="2"/>
      <c r="G574" s="3"/>
    </row>
    <row r="575" spans="3:7" ht="15.75" customHeight="1">
      <c r="C575" s="1"/>
      <c r="D575" s="1"/>
      <c r="E575" s="2"/>
      <c r="G575" s="3"/>
    </row>
    <row r="576" spans="3:7" ht="15.75" customHeight="1">
      <c r="C576" s="1"/>
      <c r="D576" s="1"/>
      <c r="E576" s="2"/>
      <c r="G576" s="3"/>
    </row>
    <row r="577" spans="3:7" ht="15.75" customHeight="1">
      <c r="C577" s="1"/>
      <c r="D577" s="1"/>
      <c r="E577" s="2"/>
      <c r="G577" s="3"/>
    </row>
    <row r="578" spans="3:7" ht="15.75" customHeight="1">
      <c r="C578" s="1"/>
      <c r="D578" s="1"/>
      <c r="E578" s="2"/>
      <c r="G578" s="3"/>
    </row>
    <row r="579" spans="3:7" ht="15.75" customHeight="1">
      <c r="C579" s="1"/>
      <c r="D579" s="1"/>
      <c r="E579" s="2"/>
      <c r="G579" s="3"/>
    </row>
    <row r="580" spans="3:7" ht="15.75" customHeight="1">
      <c r="C580" s="1"/>
      <c r="D580" s="1"/>
      <c r="E580" s="2"/>
      <c r="G580" s="3"/>
    </row>
    <row r="581" spans="3:7" ht="15.75" customHeight="1">
      <c r="C581" s="1"/>
      <c r="D581" s="1"/>
      <c r="E581" s="2"/>
      <c r="G581" s="3"/>
    </row>
    <row r="582" spans="3:7" ht="15.75" customHeight="1">
      <c r="C582" s="1"/>
      <c r="D582" s="1"/>
      <c r="E582" s="2"/>
      <c r="G582" s="3"/>
    </row>
    <row r="583" spans="3:7" ht="15.75" customHeight="1">
      <c r="C583" s="1"/>
      <c r="D583" s="1"/>
      <c r="E583" s="2"/>
      <c r="G583" s="3"/>
    </row>
    <row r="584" spans="3:7" ht="15.75" customHeight="1">
      <c r="C584" s="1"/>
      <c r="D584" s="1"/>
      <c r="E584" s="2"/>
      <c r="G584" s="3"/>
    </row>
    <row r="585" spans="3:7" ht="15.75" customHeight="1">
      <c r="C585" s="1"/>
      <c r="D585" s="1"/>
      <c r="E585" s="2"/>
      <c r="G585" s="3"/>
    </row>
    <row r="586" spans="3:7" ht="15.75" customHeight="1">
      <c r="C586" s="1"/>
      <c r="D586" s="1"/>
      <c r="E586" s="2"/>
      <c r="G586" s="3"/>
    </row>
    <row r="587" spans="3:7" ht="15.75" customHeight="1">
      <c r="C587" s="1"/>
      <c r="D587" s="1"/>
      <c r="E587" s="2"/>
      <c r="G587" s="3"/>
    </row>
    <row r="588" spans="3:7" ht="15.75" customHeight="1">
      <c r="C588" s="1"/>
      <c r="D588" s="1"/>
      <c r="E588" s="2"/>
      <c r="G588" s="3"/>
    </row>
    <row r="589" spans="3:7" ht="15.75" customHeight="1">
      <c r="C589" s="1"/>
      <c r="D589" s="1"/>
      <c r="E589" s="2"/>
      <c r="G589" s="3"/>
    </row>
    <row r="590" spans="3:7" ht="15.75" customHeight="1">
      <c r="C590" s="1"/>
      <c r="D590" s="1"/>
      <c r="E590" s="2"/>
      <c r="G590" s="3"/>
    </row>
    <row r="591" spans="3:7" ht="15.75" customHeight="1">
      <c r="C591" s="1"/>
      <c r="D591" s="1"/>
      <c r="E591" s="2"/>
      <c r="G591" s="3"/>
    </row>
    <row r="592" spans="3:7" ht="15.75" customHeight="1">
      <c r="C592" s="1"/>
      <c r="D592" s="1"/>
      <c r="E592" s="2"/>
      <c r="G592" s="3"/>
    </row>
    <row r="593" spans="3:7" ht="15.75" customHeight="1">
      <c r="C593" s="1"/>
      <c r="D593" s="1"/>
      <c r="E593" s="2"/>
      <c r="G593" s="3"/>
    </row>
    <row r="594" spans="3:7" ht="15.75" customHeight="1">
      <c r="C594" s="1"/>
      <c r="D594" s="1"/>
      <c r="E594" s="2"/>
      <c r="G594" s="3"/>
    </row>
    <row r="595" spans="3:7" ht="15.75" customHeight="1">
      <c r="C595" s="1"/>
      <c r="D595" s="1"/>
      <c r="E595" s="2"/>
      <c r="G595" s="3"/>
    </row>
    <row r="596" spans="3:7" ht="15.75" customHeight="1">
      <c r="C596" s="1"/>
      <c r="D596" s="1"/>
      <c r="E596" s="2"/>
      <c r="G596" s="3"/>
    </row>
    <row r="597" spans="3:7" ht="15.75" customHeight="1">
      <c r="C597" s="1"/>
      <c r="D597" s="1"/>
      <c r="E597" s="2"/>
      <c r="G597" s="3"/>
    </row>
    <row r="598" spans="3:7" ht="15.75" customHeight="1">
      <c r="C598" s="1"/>
      <c r="D598" s="1"/>
      <c r="E598" s="2"/>
      <c r="G598" s="3"/>
    </row>
    <row r="599" spans="3:7" ht="15.75" customHeight="1">
      <c r="C599" s="1"/>
      <c r="D599" s="1"/>
      <c r="E599" s="2"/>
      <c r="G599" s="3"/>
    </row>
    <row r="600" spans="3:7" ht="15.75" customHeight="1">
      <c r="C600" s="1"/>
      <c r="D600" s="1"/>
      <c r="E600" s="2"/>
      <c r="G600" s="3"/>
    </row>
    <row r="601" spans="3:7" ht="15.75" customHeight="1">
      <c r="C601" s="1"/>
      <c r="D601" s="1"/>
      <c r="E601" s="2"/>
      <c r="G601" s="3"/>
    </row>
    <row r="602" spans="3:7" ht="15.75" customHeight="1">
      <c r="C602" s="1"/>
      <c r="D602" s="1"/>
      <c r="E602" s="2"/>
      <c r="G602" s="3"/>
    </row>
    <row r="603" spans="3:7" ht="15.75" customHeight="1">
      <c r="C603" s="1"/>
      <c r="D603" s="1"/>
      <c r="E603" s="2"/>
      <c r="G603" s="3"/>
    </row>
    <row r="604" spans="3:7" ht="15.75" customHeight="1">
      <c r="C604" s="1"/>
      <c r="D604" s="1"/>
      <c r="E604" s="2"/>
      <c r="G604" s="3"/>
    </row>
    <row r="605" spans="3:7" ht="15.75" customHeight="1">
      <c r="C605" s="1"/>
      <c r="D605" s="1"/>
      <c r="E605" s="2"/>
      <c r="G605" s="3"/>
    </row>
    <row r="606" spans="3:7" ht="15.75" customHeight="1">
      <c r="C606" s="1"/>
      <c r="D606" s="1"/>
      <c r="E606" s="2"/>
      <c r="G606" s="3"/>
    </row>
    <row r="607" spans="3:7" ht="15.75" customHeight="1">
      <c r="C607" s="1"/>
      <c r="D607" s="1"/>
      <c r="E607" s="2"/>
      <c r="G607" s="3"/>
    </row>
    <row r="608" spans="3:7" ht="15.75" customHeight="1">
      <c r="C608" s="1"/>
      <c r="D608" s="1"/>
      <c r="E608" s="2"/>
      <c r="G608" s="3"/>
    </row>
    <row r="609" spans="3:7" ht="15.75" customHeight="1">
      <c r="C609" s="1"/>
      <c r="D609" s="1"/>
      <c r="E609" s="2"/>
      <c r="G609" s="3"/>
    </row>
    <row r="610" spans="3:7" ht="15.75" customHeight="1">
      <c r="C610" s="1"/>
      <c r="D610" s="1"/>
      <c r="E610" s="2"/>
      <c r="G610" s="3"/>
    </row>
    <row r="611" spans="3:7" ht="15.75" customHeight="1">
      <c r="C611" s="1"/>
      <c r="D611" s="1"/>
      <c r="E611" s="2"/>
      <c r="G611" s="3"/>
    </row>
    <row r="612" spans="3:7" ht="15.75" customHeight="1">
      <c r="C612" s="1"/>
      <c r="D612" s="1"/>
      <c r="E612" s="2"/>
      <c r="G612" s="3"/>
    </row>
    <row r="613" spans="3:7" ht="15.75" customHeight="1">
      <c r="C613" s="1"/>
      <c r="D613" s="1"/>
      <c r="E613" s="2"/>
      <c r="G613" s="3"/>
    </row>
    <row r="614" spans="3:7" ht="15.75" customHeight="1">
      <c r="C614" s="1"/>
      <c r="D614" s="1"/>
      <c r="E614" s="2"/>
      <c r="G614" s="3"/>
    </row>
    <row r="615" spans="3:7" ht="15.75" customHeight="1">
      <c r="C615" s="1"/>
      <c r="D615" s="1"/>
      <c r="E615" s="2"/>
      <c r="G615" s="3"/>
    </row>
    <row r="616" spans="3:7" ht="15.75" customHeight="1">
      <c r="C616" s="1"/>
      <c r="D616" s="1"/>
      <c r="E616" s="2"/>
      <c r="G616" s="3"/>
    </row>
    <row r="617" spans="3:7" ht="15.75" customHeight="1">
      <c r="C617" s="1"/>
      <c r="D617" s="1"/>
      <c r="E617" s="2"/>
      <c r="G617" s="3"/>
    </row>
    <row r="618" spans="3:7" ht="15.75" customHeight="1">
      <c r="C618" s="1"/>
      <c r="D618" s="1"/>
      <c r="E618" s="2"/>
      <c r="G618" s="3"/>
    </row>
    <row r="619" spans="3:7" ht="15.75" customHeight="1">
      <c r="C619" s="1"/>
      <c r="D619" s="1"/>
      <c r="E619" s="2"/>
      <c r="G619" s="3"/>
    </row>
    <row r="620" spans="3:7" ht="15.75" customHeight="1">
      <c r="C620" s="1"/>
      <c r="D620" s="1"/>
      <c r="E620" s="2"/>
      <c r="G620" s="3"/>
    </row>
    <row r="621" spans="3:7" ht="15.75" customHeight="1">
      <c r="C621" s="1"/>
      <c r="D621" s="1"/>
      <c r="E621" s="2"/>
      <c r="G621" s="3"/>
    </row>
    <row r="622" spans="3:7" ht="15.75" customHeight="1">
      <c r="C622" s="1"/>
      <c r="D622" s="1"/>
      <c r="E622" s="2"/>
      <c r="G622" s="3"/>
    </row>
    <row r="623" spans="3:7" ht="15.75" customHeight="1">
      <c r="C623" s="1"/>
      <c r="D623" s="1"/>
      <c r="E623" s="2"/>
      <c r="G623" s="3"/>
    </row>
    <row r="624" spans="3:7" ht="15.75" customHeight="1">
      <c r="C624" s="1"/>
      <c r="D624" s="1"/>
      <c r="E624" s="2"/>
      <c r="G624" s="3"/>
    </row>
    <row r="625" spans="3:7" ht="15.75" customHeight="1">
      <c r="C625" s="1"/>
      <c r="D625" s="1"/>
      <c r="E625" s="2"/>
      <c r="G625" s="3"/>
    </row>
    <row r="626" spans="3:7" ht="15.75" customHeight="1">
      <c r="C626" s="1"/>
      <c r="D626" s="1"/>
      <c r="E626" s="2"/>
      <c r="G626" s="3"/>
    </row>
    <row r="627" spans="3:7" ht="15.75" customHeight="1">
      <c r="C627" s="1"/>
      <c r="D627" s="1"/>
      <c r="E627" s="2"/>
      <c r="G627" s="3"/>
    </row>
    <row r="628" spans="3:7" ht="15.75" customHeight="1">
      <c r="C628" s="1"/>
      <c r="D628" s="1"/>
      <c r="E628" s="2"/>
      <c r="G628" s="3"/>
    </row>
    <row r="629" spans="3:7" ht="15.75" customHeight="1">
      <c r="C629" s="1"/>
      <c r="D629" s="1"/>
      <c r="E629" s="2"/>
      <c r="G629" s="3"/>
    </row>
    <row r="630" spans="3:7" ht="15.75" customHeight="1">
      <c r="C630" s="1"/>
      <c r="D630" s="1"/>
      <c r="E630" s="2"/>
      <c r="G630" s="3"/>
    </row>
    <row r="631" spans="3:7" ht="15.75" customHeight="1">
      <c r="C631" s="1"/>
      <c r="D631" s="1"/>
      <c r="E631" s="2"/>
      <c r="G631" s="3"/>
    </row>
    <row r="632" spans="3:7" ht="15.75" customHeight="1">
      <c r="C632" s="1"/>
      <c r="D632" s="1"/>
      <c r="E632" s="2"/>
      <c r="G632" s="3"/>
    </row>
    <row r="633" spans="3:7" ht="15.75" customHeight="1">
      <c r="C633" s="1"/>
      <c r="D633" s="1"/>
      <c r="E633" s="2"/>
      <c r="G633" s="3"/>
    </row>
    <row r="634" spans="3:7" ht="15.75" customHeight="1">
      <c r="C634" s="1"/>
      <c r="D634" s="1"/>
      <c r="E634" s="2"/>
      <c r="G634" s="3"/>
    </row>
    <row r="635" spans="3:7" ht="15.75" customHeight="1">
      <c r="C635" s="1"/>
      <c r="D635" s="1"/>
      <c r="E635" s="2"/>
      <c r="G635" s="3"/>
    </row>
    <row r="636" spans="3:7" ht="15.75" customHeight="1">
      <c r="C636" s="1"/>
      <c r="D636" s="1"/>
      <c r="E636" s="2"/>
      <c r="G636" s="3"/>
    </row>
    <row r="637" spans="3:7" ht="15.75" customHeight="1">
      <c r="C637" s="1"/>
      <c r="D637" s="1"/>
      <c r="E637" s="2"/>
      <c r="G637" s="3"/>
    </row>
    <row r="638" spans="3:7" ht="15.75" customHeight="1">
      <c r="C638" s="1"/>
      <c r="D638" s="1"/>
      <c r="E638" s="2"/>
      <c r="G638" s="3"/>
    </row>
    <row r="639" spans="3:7" ht="15.75" customHeight="1">
      <c r="C639" s="1"/>
      <c r="D639" s="1"/>
      <c r="E639" s="2"/>
      <c r="G639" s="3"/>
    </row>
    <row r="640" spans="3:7" ht="15.75" customHeight="1">
      <c r="C640" s="1"/>
      <c r="D640" s="1"/>
      <c r="E640" s="2"/>
      <c r="G640" s="3"/>
    </row>
    <row r="641" spans="3:7" ht="15.75" customHeight="1">
      <c r="C641" s="1"/>
      <c r="D641" s="1"/>
      <c r="E641" s="2"/>
      <c r="G641" s="3"/>
    </row>
    <row r="642" spans="3:7" ht="15.75" customHeight="1">
      <c r="C642" s="1"/>
      <c r="D642" s="1"/>
      <c r="E642" s="2"/>
      <c r="G642" s="3"/>
    </row>
    <row r="643" spans="3:7" ht="15.75" customHeight="1">
      <c r="C643" s="1"/>
      <c r="D643" s="1"/>
      <c r="E643" s="2"/>
      <c r="G643" s="3"/>
    </row>
    <row r="644" spans="3:7" ht="15.75" customHeight="1">
      <c r="C644" s="1"/>
      <c r="D644" s="1"/>
      <c r="E644" s="2"/>
      <c r="G644" s="3"/>
    </row>
    <row r="645" spans="3:7" ht="15.75" customHeight="1">
      <c r="C645" s="1"/>
      <c r="D645" s="1"/>
      <c r="E645" s="2"/>
      <c r="G645" s="3"/>
    </row>
    <row r="646" spans="3:7" ht="15.75" customHeight="1">
      <c r="C646" s="1"/>
      <c r="D646" s="1"/>
      <c r="E646" s="2"/>
      <c r="G646" s="3"/>
    </row>
    <row r="647" spans="3:7" ht="15.75" customHeight="1">
      <c r="C647" s="1"/>
      <c r="D647" s="1"/>
      <c r="E647" s="2"/>
      <c r="G647" s="3"/>
    </row>
    <row r="648" spans="3:7" ht="15.75" customHeight="1">
      <c r="C648" s="1"/>
      <c r="D648" s="1"/>
      <c r="E648" s="2"/>
      <c r="G648" s="3"/>
    </row>
    <row r="649" spans="3:7" ht="15.75" customHeight="1">
      <c r="C649" s="1"/>
      <c r="D649" s="1"/>
      <c r="E649" s="2"/>
      <c r="G649" s="3"/>
    </row>
    <row r="650" spans="3:7" ht="15.75" customHeight="1">
      <c r="C650" s="1"/>
      <c r="D650" s="1"/>
      <c r="E650" s="2"/>
      <c r="G650" s="3"/>
    </row>
    <row r="651" spans="3:7" ht="15.75" customHeight="1">
      <c r="C651" s="1"/>
      <c r="D651" s="1"/>
      <c r="E651" s="2"/>
      <c r="G651" s="3"/>
    </row>
    <row r="652" spans="3:7" ht="15.75" customHeight="1">
      <c r="C652" s="1"/>
      <c r="D652" s="1"/>
      <c r="E652" s="2"/>
      <c r="G652" s="3"/>
    </row>
    <row r="653" spans="3:7" ht="15.75" customHeight="1">
      <c r="C653" s="1"/>
      <c r="D653" s="1"/>
      <c r="E653" s="2"/>
      <c r="G653" s="3"/>
    </row>
    <row r="654" spans="3:7" ht="15.75" customHeight="1">
      <c r="C654" s="1"/>
      <c r="D654" s="1"/>
      <c r="E654" s="2"/>
      <c r="G654" s="3"/>
    </row>
    <row r="655" spans="3:7" ht="15.75" customHeight="1">
      <c r="C655" s="1"/>
      <c r="D655" s="1"/>
      <c r="E655" s="2"/>
      <c r="G655" s="3"/>
    </row>
    <row r="656" spans="3:7" ht="15.75" customHeight="1">
      <c r="C656" s="1"/>
      <c r="D656" s="1"/>
      <c r="E656" s="2"/>
      <c r="G656" s="3"/>
    </row>
    <row r="657" spans="3:7" ht="15.75" customHeight="1">
      <c r="C657" s="1"/>
      <c r="D657" s="1"/>
      <c r="E657" s="2"/>
      <c r="G657" s="3"/>
    </row>
    <row r="658" spans="3:7" ht="15.75" customHeight="1">
      <c r="C658" s="1"/>
      <c r="D658" s="1"/>
      <c r="E658" s="2"/>
      <c r="G658" s="3"/>
    </row>
    <row r="659" spans="3:7" ht="15.75" customHeight="1">
      <c r="C659" s="1"/>
      <c r="D659" s="1"/>
      <c r="E659" s="2"/>
      <c r="G659" s="3"/>
    </row>
    <row r="660" spans="3:7" ht="15.75" customHeight="1">
      <c r="C660" s="1"/>
      <c r="D660" s="1"/>
      <c r="E660" s="2"/>
      <c r="G660" s="3"/>
    </row>
    <row r="661" spans="3:7" ht="15.75" customHeight="1">
      <c r="C661" s="1"/>
      <c r="D661" s="1"/>
      <c r="E661" s="2"/>
      <c r="G661" s="3"/>
    </row>
    <row r="662" spans="3:7" ht="15.75" customHeight="1">
      <c r="C662" s="1"/>
      <c r="D662" s="1"/>
      <c r="E662" s="2"/>
      <c r="G662" s="3"/>
    </row>
    <row r="663" spans="3:7" ht="15.75" customHeight="1">
      <c r="C663" s="1"/>
      <c r="D663" s="1"/>
      <c r="E663" s="2"/>
      <c r="G663" s="3"/>
    </row>
    <row r="664" spans="3:7" ht="15.75" customHeight="1">
      <c r="C664" s="1"/>
      <c r="D664" s="1"/>
      <c r="E664" s="2"/>
      <c r="G664" s="3"/>
    </row>
    <row r="665" spans="3:7" ht="15.75" customHeight="1">
      <c r="C665" s="1"/>
      <c r="D665" s="1"/>
      <c r="E665" s="2"/>
      <c r="G665" s="3"/>
    </row>
    <row r="666" spans="3:7" ht="15.75" customHeight="1">
      <c r="C666" s="1"/>
      <c r="D666" s="1"/>
      <c r="E666" s="2"/>
      <c r="G666" s="3"/>
    </row>
    <row r="667" spans="3:7" ht="15.75" customHeight="1">
      <c r="C667" s="1"/>
      <c r="D667" s="1"/>
      <c r="E667" s="2"/>
      <c r="G667" s="3"/>
    </row>
    <row r="668" spans="3:7" ht="15.75" customHeight="1">
      <c r="C668" s="1"/>
      <c r="D668" s="1"/>
      <c r="E668" s="2"/>
      <c r="G668" s="3"/>
    </row>
    <row r="669" spans="3:7" ht="15.75" customHeight="1">
      <c r="C669" s="1"/>
      <c r="D669" s="1"/>
      <c r="E669" s="2"/>
      <c r="G669" s="3"/>
    </row>
    <row r="670" spans="3:7" ht="15.75" customHeight="1">
      <c r="C670" s="1"/>
      <c r="D670" s="1"/>
      <c r="E670" s="2"/>
      <c r="G670" s="3"/>
    </row>
    <row r="671" spans="3:7" ht="15.75" customHeight="1">
      <c r="C671" s="1"/>
      <c r="D671" s="1"/>
      <c r="E671" s="2"/>
      <c r="G671" s="3"/>
    </row>
    <row r="672" spans="3:7" ht="15.75" customHeight="1">
      <c r="C672" s="1"/>
      <c r="D672" s="1"/>
      <c r="E672" s="2"/>
      <c r="G672" s="3"/>
    </row>
    <row r="673" spans="3:7" ht="15.75" customHeight="1">
      <c r="C673" s="1"/>
      <c r="D673" s="1"/>
      <c r="E673" s="2"/>
      <c r="G673" s="3"/>
    </row>
    <row r="674" spans="3:7" ht="15.75" customHeight="1">
      <c r="C674" s="1"/>
      <c r="D674" s="1"/>
      <c r="E674" s="2"/>
      <c r="G674" s="3"/>
    </row>
    <row r="675" spans="3:7" ht="15.75" customHeight="1">
      <c r="C675" s="1"/>
      <c r="D675" s="1"/>
      <c r="E675" s="2"/>
      <c r="G675" s="3"/>
    </row>
    <row r="676" spans="3:7" ht="15.75" customHeight="1">
      <c r="C676" s="1"/>
      <c r="D676" s="1"/>
      <c r="E676" s="2"/>
      <c r="G676" s="3"/>
    </row>
    <row r="677" spans="3:7" ht="15.75" customHeight="1">
      <c r="C677" s="1"/>
      <c r="D677" s="1"/>
      <c r="E677" s="2"/>
      <c r="G677" s="3"/>
    </row>
    <row r="678" spans="3:7" ht="15.75" customHeight="1">
      <c r="C678" s="1"/>
      <c r="D678" s="1"/>
      <c r="E678" s="2"/>
      <c r="G678" s="3"/>
    </row>
    <row r="679" spans="3:7" ht="15.75" customHeight="1">
      <c r="C679" s="1"/>
      <c r="D679" s="1"/>
      <c r="E679" s="2"/>
      <c r="G679" s="3"/>
    </row>
    <row r="680" spans="3:7" ht="15.75" customHeight="1">
      <c r="C680" s="1"/>
      <c r="D680" s="1"/>
      <c r="E680" s="2"/>
      <c r="G680" s="3"/>
    </row>
    <row r="681" spans="3:7" ht="15.75" customHeight="1">
      <c r="C681" s="1"/>
      <c r="D681" s="1"/>
      <c r="E681" s="2"/>
      <c r="G681" s="3"/>
    </row>
    <row r="682" spans="3:7" ht="15.75" customHeight="1">
      <c r="C682" s="1"/>
      <c r="D682" s="1"/>
      <c r="E682" s="2"/>
      <c r="G682" s="3"/>
    </row>
    <row r="683" spans="3:7" ht="15.75" customHeight="1">
      <c r="C683" s="1"/>
      <c r="D683" s="1"/>
      <c r="E683" s="2"/>
      <c r="G683" s="3"/>
    </row>
    <row r="684" spans="3:7" ht="15.75" customHeight="1">
      <c r="C684" s="1"/>
      <c r="D684" s="1"/>
      <c r="E684" s="2"/>
      <c r="G684" s="3"/>
    </row>
    <row r="685" spans="3:7" ht="15.75" customHeight="1">
      <c r="C685" s="1"/>
      <c r="D685" s="1"/>
      <c r="E685" s="2"/>
      <c r="G685" s="3"/>
    </row>
    <row r="686" spans="3:7" ht="15.75" customHeight="1">
      <c r="C686" s="1"/>
      <c r="D686" s="1"/>
      <c r="E686" s="2"/>
      <c r="G686" s="3"/>
    </row>
    <row r="687" spans="3:7" ht="15.75" customHeight="1">
      <c r="C687" s="1"/>
      <c r="D687" s="1"/>
      <c r="E687" s="2"/>
      <c r="G687" s="3"/>
    </row>
    <row r="688" spans="3:7" ht="15.75" customHeight="1">
      <c r="C688" s="1"/>
      <c r="D688" s="1"/>
      <c r="E688" s="2"/>
      <c r="G688" s="3"/>
    </row>
    <row r="689" spans="3:7" ht="15.75" customHeight="1">
      <c r="C689" s="1"/>
      <c r="D689" s="1"/>
      <c r="E689" s="2"/>
      <c r="G689" s="3"/>
    </row>
    <row r="690" spans="3:7" ht="15.75" customHeight="1">
      <c r="C690" s="1"/>
      <c r="D690" s="1"/>
      <c r="E690" s="2"/>
      <c r="G690" s="3"/>
    </row>
    <row r="691" spans="3:7" ht="15.75" customHeight="1">
      <c r="C691" s="1"/>
      <c r="D691" s="1"/>
      <c r="E691" s="2"/>
      <c r="G691" s="3"/>
    </row>
    <row r="692" spans="3:7" ht="15.75" customHeight="1">
      <c r="C692" s="1"/>
      <c r="D692" s="1"/>
      <c r="E692" s="2"/>
      <c r="G692" s="3"/>
    </row>
    <row r="693" spans="3:7" ht="15.75" customHeight="1">
      <c r="C693" s="1"/>
      <c r="D693" s="1"/>
      <c r="E693" s="2"/>
      <c r="G693" s="3"/>
    </row>
    <row r="694" spans="3:7" ht="15.75" customHeight="1">
      <c r="C694" s="1"/>
      <c r="D694" s="1"/>
      <c r="E694" s="2"/>
      <c r="G694" s="3"/>
    </row>
    <row r="695" spans="3:7" ht="15.75" customHeight="1">
      <c r="C695" s="1"/>
      <c r="D695" s="1"/>
      <c r="E695" s="2"/>
      <c r="G695" s="3"/>
    </row>
    <row r="696" spans="3:7" ht="15.75" customHeight="1">
      <c r="C696" s="1"/>
      <c r="D696" s="1"/>
      <c r="E696" s="2"/>
      <c r="G696" s="3"/>
    </row>
    <row r="697" spans="3:7" ht="15.75" customHeight="1">
      <c r="C697" s="1"/>
      <c r="D697" s="1"/>
      <c r="E697" s="2"/>
      <c r="G697" s="3"/>
    </row>
    <row r="698" spans="3:7" ht="15.75" customHeight="1">
      <c r="C698" s="1"/>
      <c r="D698" s="1"/>
      <c r="E698" s="2"/>
      <c r="G698" s="3"/>
    </row>
    <row r="699" spans="3:7" ht="15.75" customHeight="1">
      <c r="C699" s="1"/>
      <c r="D699" s="1"/>
      <c r="E699" s="2"/>
      <c r="G699" s="3"/>
    </row>
    <row r="700" spans="3:7" ht="15.75" customHeight="1">
      <c r="C700" s="1"/>
      <c r="D700" s="1"/>
      <c r="E700" s="2"/>
      <c r="G700" s="3"/>
    </row>
    <row r="701" spans="3:7" ht="15.75" customHeight="1">
      <c r="C701" s="1"/>
      <c r="D701" s="1"/>
      <c r="E701" s="2"/>
      <c r="G701" s="3"/>
    </row>
    <row r="702" spans="3:7" ht="15.75" customHeight="1">
      <c r="C702" s="1"/>
      <c r="D702" s="1"/>
      <c r="E702" s="2"/>
      <c r="G702" s="3"/>
    </row>
    <row r="703" spans="3:7" ht="15.75" customHeight="1">
      <c r="C703" s="1"/>
      <c r="D703" s="1"/>
      <c r="E703" s="2"/>
      <c r="G703" s="3"/>
    </row>
    <row r="704" spans="3:7" ht="15.75" customHeight="1">
      <c r="C704" s="1"/>
      <c r="D704" s="1"/>
      <c r="E704" s="2"/>
      <c r="G704" s="3"/>
    </row>
    <row r="705" spans="3:7" ht="15.75" customHeight="1">
      <c r="C705" s="1"/>
      <c r="D705" s="1"/>
      <c r="E705" s="2"/>
      <c r="G705" s="3"/>
    </row>
    <row r="706" spans="3:7" ht="15.75" customHeight="1">
      <c r="C706" s="1"/>
      <c r="D706" s="1"/>
      <c r="E706" s="2"/>
      <c r="G706" s="3"/>
    </row>
    <row r="707" spans="3:7" ht="15.75" customHeight="1">
      <c r="C707" s="1"/>
      <c r="D707" s="1"/>
      <c r="E707" s="2"/>
      <c r="G707" s="3"/>
    </row>
    <row r="708" spans="3:7" ht="15.75" customHeight="1">
      <c r="C708" s="1"/>
      <c r="D708" s="1"/>
      <c r="E708" s="2"/>
      <c r="G708" s="3"/>
    </row>
    <row r="709" spans="3:7" ht="15.75" customHeight="1">
      <c r="C709" s="1"/>
      <c r="D709" s="1"/>
      <c r="E709" s="2"/>
      <c r="G709" s="3"/>
    </row>
    <row r="710" spans="3:7" ht="15.75" customHeight="1">
      <c r="C710" s="1"/>
      <c r="D710" s="1"/>
      <c r="E710" s="2"/>
      <c r="G710" s="3"/>
    </row>
    <row r="711" spans="3:7" ht="15.75" customHeight="1">
      <c r="C711" s="1"/>
      <c r="D711" s="1"/>
      <c r="E711" s="2"/>
      <c r="G711" s="3"/>
    </row>
    <row r="712" spans="3:7" ht="15.75" customHeight="1">
      <c r="C712" s="1"/>
      <c r="D712" s="1"/>
      <c r="E712" s="2"/>
      <c r="G712" s="3"/>
    </row>
    <row r="713" spans="3:7" ht="15.75" customHeight="1">
      <c r="C713" s="1"/>
      <c r="D713" s="1"/>
      <c r="E713" s="2"/>
      <c r="G713" s="3"/>
    </row>
    <row r="714" spans="3:7" ht="15.75" customHeight="1">
      <c r="C714" s="1"/>
      <c r="D714" s="1"/>
      <c r="E714" s="2"/>
      <c r="G714" s="3"/>
    </row>
    <row r="715" spans="3:7" ht="15.75" customHeight="1">
      <c r="C715" s="1"/>
      <c r="D715" s="1"/>
      <c r="E715" s="2"/>
      <c r="G715" s="3"/>
    </row>
    <row r="716" spans="3:7" ht="15.75" customHeight="1">
      <c r="C716" s="1"/>
      <c r="D716" s="1"/>
      <c r="E716" s="2"/>
      <c r="G716" s="3"/>
    </row>
    <row r="717" spans="3:7" ht="15.75" customHeight="1">
      <c r="C717" s="1"/>
      <c r="D717" s="1"/>
      <c r="E717" s="2"/>
      <c r="G717" s="3"/>
    </row>
    <row r="718" spans="3:7" ht="15.75" customHeight="1">
      <c r="C718" s="1"/>
      <c r="D718" s="1"/>
      <c r="E718" s="2"/>
      <c r="G718" s="3"/>
    </row>
    <row r="719" spans="3:7" ht="15.75" customHeight="1">
      <c r="C719" s="1"/>
      <c r="D719" s="1"/>
      <c r="E719" s="2"/>
      <c r="G719" s="3"/>
    </row>
    <row r="720" spans="3:7" ht="15.75" customHeight="1">
      <c r="C720" s="1"/>
      <c r="D720" s="1"/>
      <c r="E720" s="2"/>
      <c r="G720" s="3"/>
    </row>
    <row r="721" spans="3:7" ht="15.75" customHeight="1">
      <c r="C721" s="1"/>
      <c r="D721" s="1"/>
      <c r="E721" s="2"/>
      <c r="G721" s="3"/>
    </row>
    <row r="722" spans="3:7" ht="15.75" customHeight="1">
      <c r="C722" s="1"/>
      <c r="D722" s="1"/>
      <c r="E722" s="2"/>
      <c r="G722" s="3"/>
    </row>
    <row r="723" spans="3:7" ht="15.75" customHeight="1">
      <c r="C723" s="1"/>
      <c r="D723" s="1"/>
      <c r="E723" s="2"/>
      <c r="G723" s="3"/>
    </row>
    <row r="724" spans="3:7" ht="15.75" customHeight="1">
      <c r="C724" s="1"/>
      <c r="D724" s="1"/>
      <c r="E724" s="2"/>
      <c r="G724" s="3"/>
    </row>
    <row r="725" spans="3:7" ht="15.75" customHeight="1">
      <c r="C725" s="1"/>
      <c r="D725" s="1"/>
      <c r="E725" s="2"/>
      <c r="G725" s="3"/>
    </row>
    <row r="726" spans="3:7" ht="15.75" customHeight="1">
      <c r="C726" s="1"/>
      <c r="D726" s="1"/>
      <c r="E726" s="2"/>
      <c r="G726" s="3"/>
    </row>
    <row r="727" spans="3:7" ht="15.75" customHeight="1">
      <c r="C727" s="1"/>
      <c r="D727" s="1"/>
      <c r="E727" s="2"/>
      <c r="G727" s="3"/>
    </row>
    <row r="728" spans="3:7" ht="15.75" customHeight="1">
      <c r="C728" s="1"/>
      <c r="D728" s="1"/>
      <c r="E728" s="2"/>
      <c r="G728" s="3"/>
    </row>
    <row r="729" spans="3:7" ht="15.75" customHeight="1">
      <c r="C729" s="1"/>
      <c r="D729" s="1"/>
      <c r="E729" s="2"/>
      <c r="G729" s="3"/>
    </row>
    <row r="730" spans="3:7" ht="15.75" customHeight="1">
      <c r="C730" s="1"/>
      <c r="D730" s="1"/>
      <c r="E730" s="2"/>
      <c r="G730" s="3"/>
    </row>
    <row r="731" spans="3:7" ht="15.75" customHeight="1">
      <c r="C731" s="1"/>
      <c r="D731" s="1"/>
      <c r="E731" s="2"/>
      <c r="G731" s="3"/>
    </row>
    <row r="732" spans="3:7" ht="15.75" customHeight="1">
      <c r="C732" s="1"/>
      <c r="D732" s="1"/>
      <c r="E732" s="2"/>
      <c r="G732" s="3"/>
    </row>
    <row r="733" spans="3:7" ht="15.75" customHeight="1">
      <c r="C733" s="1"/>
      <c r="D733" s="1"/>
      <c r="E733" s="2"/>
      <c r="G733" s="3"/>
    </row>
    <row r="734" spans="3:7" ht="15.75" customHeight="1">
      <c r="C734" s="1"/>
      <c r="D734" s="1"/>
      <c r="E734" s="2"/>
      <c r="G734" s="3"/>
    </row>
    <row r="735" spans="3:7" ht="15.75" customHeight="1">
      <c r="C735" s="1"/>
      <c r="D735" s="1"/>
      <c r="E735" s="2"/>
      <c r="G735" s="3"/>
    </row>
    <row r="736" spans="3:7" ht="15.75" customHeight="1">
      <c r="C736" s="1"/>
      <c r="D736" s="1"/>
      <c r="E736" s="2"/>
      <c r="G736" s="3"/>
    </row>
    <row r="737" spans="3:7" ht="15.75" customHeight="1">
      <c r="C737" s="1"/>
      <c r="D737" s="1"/>
      <c r="E737" s="2"/>
      <c r="G737" s="3"/>
    </row>
    <row r="738" spans="3:7" ht="15.75" customHeight="1">
      <c r="C738" s="1"/>
      <c r="D738" s="1"/>
      <c r="E738" s="2"/>
      <c r="G738" s="3"/>
    </row>
    <row r="739" spans="3:7" ht="15.75" customHeight="1">
      <c r="C739" s="1"/>
      <c r="D739" s="1"/>
      <c r="E739" s="2"/>
      <c r="G739" s="3"/>
    </row>
    <row r="740" spans="3:7" ht="15.75" customHeight="1">
      <c r="C740" s="1"/>
      <c r="D740" s="1"/>
      <c r="E740" s="2"/>
      <c r="G740" s="3"/>
    </row>
    <row r="741" spans="3:7" ht="15.75" customHeight="1">
      <c r="C741" s="1"/>
      <c r="D741" s="1"/>
      <c r="E741" s="2"/>
      <c r="G741" s="3"/>
    </row>
    <row r="742" spans="3:7" ht="15.75" customHeight="1">
      <c r="C742" s="1"/>
      <c r="D742" s="1"/>
      <c r="E742" s="2"/>
      <c r="G742" s="3"/>
    </row>
    <row r="743" spans="3:7" ht="15.75" customHeight="1">
      <c r="C743" s="1"/>
      <c r="D743" s="1"/>
      <c r="E743" s="2"/>
      <c r="G743" s="3"/>
    </row>
    <row r="744" spans="3:7" ht="15.75" customHeight="1">
      <c r="C744" s="1"/>
      <c r="D744" s="1"/>
      <c r="E744" s="2"/>
      <c r="G744" s="3"/>
    </row>
    <row r="745" spans="3:7" ht="15.75" customHeight="1">
      <c r="C745" s="1"/>
      <c r="D745" s="1"/>
      <c r="E745" s="2"/>
      <c r="G745" s="3"/>
    </row>
    <row r="746" spans="3:7" ht="15.75" customHeight="1">
      <c r="C746" s="1"/>
      <c r="D746" s="1"/>
      <c r="E746" s="2"/>
      <c r="G746" s="3"/>
    </row>
    <row r="747" spans="3:7" ht="15.75" customHeight="1">
      <c r="C747" s="1"/>
      <c r="D747" s="1"/>
      <c r="E747" s="2"/>
      <c r="G747" s="3"/>
    </row>
    <row r="748" spans="3:7" ht="15.75" customHeight="1">
      <c r="C748" s="1"/>
      <c r="D748" s="1"/>
      <c r="E748" s="2"/>
      <c r="G748" s="3"/>
    </row>
    <row r="749" spans="3:7" ht="15.75" customHeight="1">
      <c r="C749" s="1"/>
      <c r="D749" s="1"/>
      <c r="E749" s="2"/>
      <c r="G749" s="3"/>
    </row>
    <row r="750" spans="3:7" ht="15.75" customHeight="1">
      <c r="C750" s="1"/>
      <c r="D750" s="1"/>
      <c r="E750" s="2"/>
      <c r="G750" s="3"/>
    </row>
    <row r="751" spans="3:7" ht="15.75" customHeight="1">
      <c r="C751" s="1"/>
      <c r="D751" s="1"/>
      <c r="E751" s="2"/>
      <c r="G751" s="3"/>
    </row>
    <row r="752" spans="3:7" ht="15.75" customHeight="1">
      <c r="C752" s="1"/>
      <c r="D752" s="1"/>
      <c r="E752" s="2"/>
      <c r="G752" s="3"/>
    </row>
    <row r="753" spans="3:7" ht="15.75" customHeight="1">
      <c r="C753" s="1"/>
      <c r="D753" s="1"/>
      <c r="E753" s="2"/>
      <c r="G753" s="3"/>
    </row>
    <row r="754" spans="3:7" ht="15.75" customHeight="1">
      <c r="C754" s="1"/>
      <c r="D754" s="1"/>
      <c r="E754" s="2"/>
      <c r="G754" s="3"/>
    </row>
    <row r="755" spans="3:7" ht="15.75" customHeight="1">
      <c r="C755" s="1"/>
      <c r="D755" s="1"/>
      <c r="E755" s="2"/>
      <c r="G755" s="3"/>
    </row>
    <row r="756" spans="3:7" ht="15.75" customHeight="1">
      <c r="C756" s="1"/>
      <c r="D756" s="1"/>
      <c r="E756" s="2"/>
      <c r="G756" s="3"/>
    </row>
    <row r="757" spans="3:7" ht="15.75" customHeight="1">
      <c r="C757" s="1"/>
      <c r="D757" s="1"/>
      <c r="E757" s="2"/>
      <c r="G757" s="3"/>
    </row>
    <row r="758" spans="3:7" ht="15.75" customHeight="1">
      <c r="C758" s="1"/>
      <c r="D758" s="1"/>
      <c r="E758" s="2"/>
      <c r="G758" s="3"/>
    </row>
    <row r="759" spans="3:7" ht="15.75" customHeight="1">
      <c r="C759" s="1"/>
      <c r="D759" s="1"/>
      <c r="E759" s="2"/>
      <c r="G759" s="3"/>
    </row>
    <row r="760" spans="3:7" ht="15.75" customHeight="1">
      <c r="C760" s="1"/>
      <c r="D760" s="1"/>
      <c r="E760" s="2"/>
      <c r="G760" s="3"/>
    </row>
    <row r="761" spans="3:7" ht="15.75" customHeight="1">
      <c r="C761" s="1"/>
      <c r="D761" s="1"/>
      <c r="E761" s="2"/>
      <c r="G761" s="3"/>
    </row>
    <row r="762" spans="3:7" ht="15.75" customHeight="1">
      <c r="C762" s="1"/>
      <c r="D762" s="1"/>
      <c r="E762" s="2"/>
      <c r="G762" s="3"/>
    </row>
    <row r="763" spans="3:7" ht="15.75" customHeight="1">
      <c r="C763" s="1"/>
      <c r="D763" s="1"/>
      <c r="E763" s="2"/>
      <c r="G763" s="3"/>
    </row>
    <row r="764" spans="3:7" ht="15.75" customHeight="1">
      <c r="C764" s="1"/>
      <c r="D764" s="1"/>
      <c r="E764" s="2"/>
      <c r="G764" s="3"/>
    </row>
    <row r="765" spans="3:7" ht="15.75" customHeight="1">
      <c r="C765" s="1"/>
      <c r="D765" s="1"/>
      <c r="E765" s="2"/>
      <c r="G765" s="3"/>
    </row>
    <row r="766" spans="3:7" ht="15.75" customHeight="1">
      <c r="C766" s="1"/>
      <c r="D766" s="1"/>
      <c r="E766" s="2"/>
      <c r="G766" s="3"/>
    </row>
    <row r="767" spans="3:7" ht="15.75" customHeight="1">
      <c r="C767" s="1"/>
      <c r="D767" s="1"/>
      <c r="E767" s="2"/>
      <c r="G767" s="3"/>
    </row>
    <row r="768" spans="3:7" ht="15.75" customHeight="1">
      <c r="C768" s="1"/>
      <c r="D768" s="1"/>
      <c r="E768" s="2"/>
      <c r="G768" s="3"/>
    </row>
    <row r="769" spans="3:7" ht="15.75" customHeight="1">
      <c r="C769" s="1"/>
      <c r="D769" s="1"/>
      <c r="E769" s="2"/>
      <c r="G769" s="3"/>
    </row>
    <row r="770" spans="3:7" ht="15.75" customHeight="1">
      <c r="C770" s="1"/>
      <c r="D770" s="1"/>
      <c r="E770" s="2"/>
      <c r="G770" s="3"/>
    </row>
    <row r="771" spans="3:7" ht="15.75" customHeight="1">
      <c r="C771" s="1"/>
      <c r="D771" s="1"/>
      <c r="E771" s="2"/>
      <c r="G771" s="3"/>
    </row>
    <row r="772" spans="3:7" ht="15.75" customHeight="1">
      <c r="C772" s="1"/>
      <c r="D772" s="1"/>
      <c r="E772" s="2"/>
      <c r="G772" s="3"/>
    </row>
    <row r="773" spans="3:7" ht="15.75" customHeight="1">
      <c r="C773" s="1"/>
      <c r="D773" s="1"/>
      <c r="E773" s="2"/>
      <c r="G773" s="3"/>
    </row>
    <row r="774" spans="3:7" ht="15.75" customHeight="1">
      <c r="C774" s="1"/>
      <c r="D774" s="1"/>
      <c r="E774" s="2"/>
      <c r="G774" s="3"/>
    </row>
    <row r="775" spans="3:7" ht="15.75" customHeight="1">
      <c r="C775" s="1"/>
      <c r="D775" s="1"/>
      <c r="E775" s="2"/>
      <c r="G775" s="3"/>
    </row>
    <row r="776" spans="3:7" ht="15.75" customHeight="1">
      <c r="C776" s="1"/>
      <c r="D776" s="1"/>
      <c r="E776" s="2"/>
      <c r="G776" s="3"/>
    </row>
    <row r="777" spans="3:7" ht="15.75" customHeight="1">
      <c r="C777" s="1"/>
      <c r="D777" s="1"/>
      <c r="E777" s="2"/>
      <c r="G777" s="3"/>
    </row>
    <row r="778" spans="3:7" ht="15.75" customHeight="1">
      <c r="C778" s="1"/>
      <c r="D778" s="1"/>
      <c r="E778" s="2"/>
      <c r="G778" s="3"/>
    </row>
    <row r="779" spans="3:7" ht="15.75" customHeight="1">
      <c r="C779" s="1"/>
      <c r="D779" s="1"/>
      <c r="E779" s="2"/>
      <c r="G779" s="3"/>
    </row>
    <row r="780" spans="3:7" ht="15.75" customHeight="1">
      <c r="C780" s="1"/>
      <c r="D780" s="1"/>
      <c r="E780" s="2"/>
      <c r="G780" s="3"/>
    </row>
    <row r="781" spans="3:7" ht="15.75" customHeight="1">
      <c r="C781" s="1"/>
      <c r="D781" s="1"/>
      <c r="E781" s="2"/>
      <c r="G781" s="3"/>
    </row>
    <row r="782" spans="3:7" ht="15.75" customHeight="1">
      <c r="C782" s="1"/>
      <c r="D782" s="1"/>
      <c r="E782" s="2"/>
      <c r="G782" s="3"/>
    </row>
    <row r="783" spans="3:7" ht="15.75" customHeight="1">
      <c r="C783" s="1"/>
      <c r="D783" s="1"/>
      <c r="E783" s="2"/>
      <c r="G783" s="3"/>
    </row>
    <row r="784" spans="3:7" ht="15.75" customHeight="1">
      <c r="C784" s="1"/>
      <c r="D784" s="1"/>
      <c r="E784" s="2"/>
      <c r="G784" s="3"/>
    </row>
    <row r="785" spans="3:7" ht="15.75" customHeight="1">
      <c r="C785" s="1"/>
      <c r="D785" s="1"/>
      <c r="E785" s="2"/>
      <c r="G785" s="3"/>
    </row>
    <row r="786" spans="3:7" ht="15.75" customHeight="1">
      <c r="C786" s="1"/>
      <c r="D786" s="1"/>
      <c r="E786" s="2"/>
      <c r="G786" s="3"/>
    </row>
    <row r="787" spans="3:7" ht="15.75" customHeight="1">
      <c r="C787" s="1"/>
      <c r="D787" s="1"/>
      <c r="E787" s="2"/>
      <c r="G787" s="3"/>
    </row>
    <row r="788" spans="3:7" ht="15.75" customHeight="1">
      <c r="C788" s="1"/>
      <c r="D788" s="1"/>
      <c r="E788" s="2"/>
      <c r="G788" s="3"/>
    </row>
    <row r="789" spans="3:7" ht="15.75" customHeight="1">
      <c r="C789" s="1"/>
      <c r="D789" s="1"/>
      <c r="E789" s="2"/>
      <c r="G789" s="3"/>
    </row>
    <row r="790" spans="3:7" ht="15.75" customHeight="1">
      <c r="C790" s="1"/>
      <c r="D790" s="1"/>
      <c r="E790" s="2"/>
      <c r="G790" s="3"/>
    </row>
    <row r="791" spans="3:7" ht="15.75" customHeight="1">
      <c r="C791" s="1"/>
      <c r="D791" s="1"/>
      <c r="E791" s="2"/>
      <c r="G791" s="3"/>
    </row>
    <row r="792" spans="3:7" ht="15.75" customHeight="1">
      <c r="C792" s="1"/>
      <c r="D792" s="1"/>
      <c r="E792" s="2"/>
      <c r="G792" s="3"/>
    </row>
    <row r="793" spans="3:7" ht="15.75" customHeight="1">
      <c r="C793" s="1"/>
      <c r="D793" s="1"/>
      <c r="E793" s="2"/>
      <c r="G793" s="3"/>
    </row>
    <row r="794" spans="3:7" ht="15.75" customHeight="1">
      <c r="C794" s="1"/>
      <c r="D794" s="1"/>
      <c r="E794" s="2"/>
      <c r="G794" s="3"/>
    </row>
    <row r="795" spans="3:7" ht="15.75" customHeight="1">
      <c r="C795" s="1"/>
      <c r="D795" s="1"/>
      <c r="E795" s="2"/>
      <c r="G795" s="3"/>
    </row>
    <row r="796" spans="3:7" ht="15.75" customHeight="1">
      <c r="C796" s="1"/>
      <c r="D796" s="1"/>
      <c r="E796" s="2"/>
      <c r="G796" s="3"/>
    </row>
    <row r="797" spans="3:7" ht="15.75" customHeight="1">
      <c r="C797" s="1"/>
      <c r="D797" s="1"/>
      <c r="E797" s="2"/>
      <c r="G797" s="3"/>
    </row>
    <row r="798" spans="3:7" ht="15.75" customHeight="1">
      <c r="C798" s="1"/>
      <c r="D798" s="1"/>
      <c r="E798" s="2"/>
      <c r="G798" s="3"/>
    </row>
    <row r="799" spans="3:7" ht="15.75" customHeight="1">
      <c r="C799" s="1"/>
      <c r="D799" s="1"/>
      <c r="E799" s="2"/>
      <c r="G799" s="3"/>
    </row>
    <row r="800" spans="3:7" ht="15.75" customHeight="1">
      <c r="C800" s="1"/>
      <c r="D800" s="1"/>
      <c r="E800" s="2"/>
      <c r="G800" s="3"/>
    </row>
    <row r="801" spans="3:7" ht="15.75" customHeight="1">
      <c r="C801" s="1"/>
      <c r="D801" s="1"/>
      <c r="E801" s="2"/>
      <c r="G801" s="3"/>
    </row>
    <row r="802" spans="3:7" ht="15.75" customHeight="1">
      <c r="C802" s="1"/>
      <c r="D802" s="1"/>
      <c r="E802" s="2"/>
      <c r="G802" s="3"/>
    </row>
    <row r="803" spans="3:7" ht="15.75" customHeight="1">
      <c r="C803" s="1"/>
      <c r="D803" s="1"/>
      <c r="E803" s="2"/>
      <c r="G803" s="3"/>
    </row>
    <row r="804" spans="3:7" ht="15.75" customHeight="1">
      <c r="C804" s="1"/>
      <c r="D804" s="1"/>
      <c r="E804" s="2"/>
      <c r="G804" s="3"/>
    </row>
    <row r="805" spans="3:7" ht="15.75" customHeight="1">
      <c r="C805" s="1"/>
      <c r="D805" s="1"/>
      <c r="E805" s="2"/>
      <c r="G805" s="3"/>
    </row>
    <row r="806" spans="3:7" ht="15.75" customHeight="1">
      <c r="C806" s="1"/>
      <c r="D806" s="1"/>
      <c r="E806" s="2"/>
      <c r="G806" s="3"/>
    </row>
    <row r="807" spans="3:7" ht="15.75" customHeight="1">
      <c r="C807" s="1"/>
      <c r="D807" s="1"/>
      <c r="E807" s="2"/>
      <c r="G807" s="3"/>
    </row>
    <row r="808" spans="3:7" ht="15.75" customHeight="1">
      <c r="C808" s="1"/>
      <c r="D808" s="1"/>
      <c r="E808" s="2"/>
      <c r="G808" s="3"/>
    </row>
    <row r="809" spans="3:7" ht="15.75" customHeight="1">
      <c r="C809" s="1"/>
      <c r="D809" s="1"/>
      <c r="E809" s="2"/>
      <c r="G809" s="3"/>
    </row>
    <row r="810" spans="3:7" ht="15.75" customHeight="1">
      <c r="C810" s="1"/>
      <c r="D810" s="1"/>
      <c r="E810" s="2"/>
      <c r="G810" s="3"/>
    </row>
    <row r="811" spans="3:7" ht="15.75" customHeight="1">
      <c r="C811" s="1"/>
      <c r="D811" s="1"/>
      <c r="E811" s="2"/>
      <c r="G811" s="3"/>
    </row>
    <row r="812" spans="3:7" ht="15.75" customHeight="1">
      <c r="C812" s="1"/>
      <c r="D812" s="1"/>
      <c r="E812" s="2"/>
      <c r="G812" s="3"/>
    </row>
    <row r="813" spans="3:7" ht="15.75" customHeight="1">
      <c r="C813" s="1"/>
      <c r="D813" s="1"/>
      <c r="E813" s="2"/>
      <c r="G813" s="3"/>
    </row>
    <row r="814" spans="3:7" ht="15.75" customHeight="1">
      <c r="C814" s="1"/>
      <c r="D814" s="1"/>
      <c r="E814" s="2"/>
      <c r="G814" s="3"/>
    </row>
    <row r="815" spans="3:7" ht="15.75" customHeight="1">
      <c r="C815" s="1"/>
      <c r="D815" s="1"/>
      <c r="E815" s="2"/>
      <c r="G815" s="3"/>
    </row>
    <row r="816" spans="3:7" ht="15.75" customHeight="1">
      <c r="C816" s="1"/>
      <c r="D816" s="1"/>
      <c r="E816" s="2"/>
      <c r="G816" s="3"/>
    </row>
    <row r="817" spans="3:7" ht="15.75" customHeight="1">
      <c r="C817" s="1"/>
      <c r="D817" s="1"/>
      <c r="E817" s="2"/>
      <c r="G817" s="3"/>
    </row>
    <row r="818" spans="3:7" ht="15.75" customHeight="1">
      <c r="C818" s="1"/>
      <c r="D818" s="1"/>
      <c r="E818" s="2"/>
      <c r="G818" s="3"/>
    </row>
    <row r="819" spans="3:7" ht="15.75" customHeight="1">
      <c r="C819" s="1"/>
      <c r="D819" s="1"/>
      <c r="E819" s="2"/>
      <c r="G819" s="3"/>
    </row>
    <row r="820" spans="3:7" ht="15.75" customHeight="1">
      <c r="C820" s="1"/>
      <c r="D820" s="1"/>
      <c r="E820" s="2"/>
      <c r="G820" s="3"/>
    </row>
    <row r="821" spans="3:7" ht="15.75" customHeight="1">
      <c r="C821" s="1"/>
      <c r="D821" s="1"/>
      <c r="E821" s="2"/>
      <c r="G821" s="3"/>
    </row>
    <row r="822" spans="3:7" ht="15.75" customHeight="1">
      <c r="C822" s="1"/>
      <c r="D822" s="1"/>
      <c r="E822" s="2"/>
      <c r="G822" s="3"/>
    </row>
    <row r="823" spans="3:7" ht="15.75" customHeight="1">
      <c r="C823" s="1"/>
      <c r="D823" s="1"/>
      <c r="E823" s="2"/>
      <c r="G823" s="3"/>
    </row>
    <row r="824" spans="3:7" ht="15.75" customHeight="1">
      <c r="C824" s="1"/>
      <c r="D824" s="1"/>
      <c r="E824" s="2"/>
      <c r="G824" s="3"/>
    </row>
    <row r="825" spans="3:7" ht="15.75" customHeight="1">
      <c r="C825" s="1"/>
      <c r="D825" s="1"/>
      <c r="E825" s="2"/>
      <c r="G825" s="3"/>
    </row>
    <row r="826" spans="3:7" ht="15.75" customHeight="1">
      <c r="C826" s="1"/>
      <c r="D826" s="1"/>
      <c r="E826" s="2"/>
      <c r="G826" s="3"/>
    </row>
    <row r="827" spans="3:7" ht="15.75" customHeight="1">
      <c r="C827" s="1"/>
      <c r="D827" s="1"/>
      <c r="E827" s="2"/>
      <c r="G827" s="3"/>
    </row>
    <row r="828" spans="3:7" ht="15.75" customHeight="1">
      <c r="C828" s="1"/>
      <c r="D828" s="1"/>
      <c r="E828" s="2"/>
      <c r="G828" s="3"/>
    </row>
    <row r="829" spans="3:7" ht="15.75" customHeight="1">
      <c r="C829" s="1"/>
      <c r="D829" s="1"/>
      <c r="E829" s="2"/>
      <c r="G829" s="3"/>
    </row>
    <row r="830" spans="3:7" ht="15.75" customHeight="1">
      <c r="C830" s="1"/>
      <c r="D830" s="1"/>
      <c r="E830" s="2"/>
      <c r="G830" s="3"/>
    </row>
    <row r="831" spans="3:7" ht="15.75" customHeight="1">
      <c r="C831" s="1"/>
      <c r="D831" s="1"/>
      <c r="E831" s="2"/>
      <c r="G831" s="3"/>
    </row>
    <row r="832" spans="3:7" ht="15.75" customHeight="1">
      <c r="C832" s="1"/>
      <c r="D832" s="1"/>
      <c r="E832" s="2"/>
      <c r="G832" s="3"/>
    </row>
    <row r="833" spans="3:7" ht="15.75" customHeight="1">
      <c r="C833" s="1"/>
      <c r="D833" s="1"/>
      <c r="E833" s="2"/>
      <c r="G833" s="3"/>
    </row>
    <row r="834" spans="3:7" ht="15.75" customHeight="1">
      <c r="C834" s="1"/>
      <c r="D834" s="1"/>
      <c r="E834" s="2"/>
      <c r="G834" s="3"/>
    </row>
    <row r="835" spans="3:7" ht="15.75" customHeight="1">
      <c r="C835" s="1"/>
      <c r="D835" s="1"/>
      <c r="E835" s="2"/>
      <c r="G835" s="3"/>
    </row>
    <row r="836" spans="3:7" ht="15.75" customHeight="1">
      <c r="C836" s="1"/>
      <c r="D836" s="1"/>
      <c r="E836" s="2"/>
      <c r="G836" s="3"/>
    </row>
    <row r="837" spans="3:7" ht="15.75" customHeight="1">
      <c r="C837" s="1"/>
      <c r="D837" s="1"/>
      <c r="E837" s="2"/>
      <c r="G837" s="3"/>
    </row>
    <row r="838" spans="3:7" ht="15.75" customHeight="1">
      <c r="C838" s="1"/>
      <c r="D838" s="1"/>
      <c r="E838" s="2"/>
      <c r="G838" s="3"/>
    </row>
    <row r="839" spans="3:7" ht="15.75" customHeight="1">
      <c r="C839" s="1"/>
      <c r="D839" s="1"/>
      <c r="E839" s="2"/>
      <c r="G839" s="3"/>
    </row>
    <row r="840" spans="3:7" ht="15.75" customHeight="1">
      <c r="C840" s="1"/>
      <c r="D840" s="1"/>
      <c r="E840" s="2"/>
      <c r="G840" s="3"/>
    </row>
    <row r="841" spans="3:7" ht="15.75" customHeight="1">
      <c r="C841" s="1"/>
      <c r="D841" s="1"/>
      <c r="E841" s="2"/>
      <c r="G841" s="3"/>
    </row>
    <row r="842" spans="3:7" ht="15.75" customHeight="1">
      <c r="C842" s="1"/>
      <c r="D842" s="1"/>
      <c r="E842" s="2"/>
      <c r="G842" s="3"/>
    </row>
    <row r="843" spans="3:7" ht="15.75" customHeight="1">
      <c r="C843" s="1"/>
      <c r="D843" s="1"/>
      <c r="E843" s="2"/>
      <c r="G843" s="3"/>
    </row>
    <row r="844" spans="3:7" ht="15.75" customHeight="1">
      <c r="C844" s="1"/>
      <c r="D844" s="1"/>
      <c r="E844" s="2"/>
      <c r="G844" s="3"/>
    </row>
    <row r="845" spans="3:7" ht="15.75" customHeight="1">
      <c r="C845" s="1"/>
      <c r="D845" s="1"/>
      <c r="E845" s="2"/>
      <c r="G845" s="3"/>
    </row>
    <row r="846" spans="3:7" ht="15.75" customHeight="1">
      <c r="C846" s="1"/>
      <c r="D846" s="1"/>
      <c r="E846" s="2"/>
      <c r="G846" s="3"/>
    </row>
    <row r="847" spans="3:7" ht="15.75" customHeight="1">
      <c r="C847" s="1"/>
      <c r="D847" s="1"/>
      <c r="E847" s="2"/>
      <c r="G847" s="3"/>
    </row>
    <row r="848" spans="3:7" ht="15.75" customHeight="1">
      <c r="C848" s="1"/>
      <c r="D848" s="1"/>
      <c r="E848" s="2"/>
      <c r="G848" s="3"/>
    </row>
    <row r="849" spans="3:7" ht="15.75" customHeight="1">
      <c r="C849" s="1"/>
      <c r="D849" s="1"/>
      <c r="E849" s="2"/>
      <c r="G849" s="3"/>
    </row>
    <row r="850" spans="3:7" ht="15.75" customHeight="1">
      <c r="C850" s="1"/>
      <c r="D850" s="1"/>
      <c r="E850" s="2"/>
      <c r="G850" s="3"/>
    </row>
    <row r="851" spans="3:7" ht="15.75" customHeight="1">
      <c r="C851" s="1"/>
      <c r="D851" s="1"/>
      <c r="E851" s="2"/>
      <c r="G851" s="3"/>
    </row>
    <row r="852" spans="3:7" ht="15.75" customHeight="1">
      <c r="C852" s="1"/>
      <c r="D852" s="1"/>
      <c r="E852" s="2"/>
      <c r="G852" s="3"/>
    </row>
    <row r="853" spans="3:7" ht="15.75" customHeight="1">
      <c r="C853" s="1"/>
      <c r="D853" s="1"/>
      <c r="E853" s="2"/>
      <c r="G853" s="3"/>
    </row>
    <row r="854" spans="3:7" ht="15.75" customHeight="1">
      <c r="C854" s="1"/>
      <c r="D854" s="1"/>
      <c r="E854" s="2"/>
      <c r="G854" s="3"/>
    </row>
    <row r="855" spans="3:7" ht="15.75" customHeight="1">
      <c r="C855" s="1"/>
      <c r="D855" s="1"/>
      <c r="E855" s="2"/>
      <c r="G855" s="3"/>
    </row>
    <row r="856" spans="3:7" ht="15.75" customHeight="1">
      <c r="C856" s="1"/>
      <c r="D856" s="1"/>
      <c r="E856" s="2"/>
      <c r="G856" s="3"/>
    </row>
    <row r="857" spans="3:7" ht="15.75" customHeight="1">
      <c r="C857" s="1"/>
      <c r="D857" s="1"/>
      <c r="E857" s="2"/>
      <c r="G857" s="3"/>
    </row>
    <row r="858" spans="3:7" ht="15.75" customHeight="1">
      <c r="C858" s="1"/>
      <c r="D858" s="1"/>
      <c r="E858" s="2"/>
      <c r="G858" s="3"/>
    </row>
    <row r="859" spans="3:7" ht="15.75" customHeight="1">
      <c r="C859" s="1"/>
      <c r="D859" s="1"/>
      <c r="E859" s="2"/>
      <c r="G859" s="3"/>
    </row>
    <row r="860" spans="3:7" ht="15.75" customHeight="1">
      <c r="C860" s="1"/>
      <c r="D860" s="1"/>
      <c r="E860" s="2"/>
      <c r="G860" s="3"/>
    </row>
    <row r="861" spans="3:7" ht="15.75" customHeight="1">
      <c r="C861" s="1"/>
      <c r="D861" s="1"/>
      <c r="E861" s="2"/>
      <c r="G861" s="3"/>
    </row>
    <row r="862" spans="3:7" ht="15.75" customHeight="1">
      <c r="C862" s="1"/>
      <c r="D862" s="1"/>
      <c r="E862" s="2"/>
      <c r="G862" s="3"/>
    </row>
    <row r="863" spans="3:7" ht="15.75" customHeight="1">
      <c r="C863" s="1"/>
      <c r="D863" s="1"/>
      <c r="E863" s="2"/>
      <c r="G863" s="3"/>
    </row>
    <row r="864" spans="3:7" ht="15.75" customHeight="1">
      <c r="C864" s="1"/>
      <c r="D864" s="1"/>
      <c r="E864" s="2"/>
      <c r="G864" s="3"/>
    </row>
    <row r="865" spans="3:7" ht="15.75" customHeight="1">
      <c r="C865" s="1"/>
      <c r="D865" s="1"/>
      <c r="E865" s="2"/>
      <c r="G865" s="3"/>
    </row>
    <row r="866" spans="3:7" ht="15.75" customHeight="1">
      <c r="C866" s="1"/>
      <c r="D866" s="1"/>
      <c r="E866" s="2"/>
      <c r="G866" s="3"/>
    </row>
    <row r="867" spans="3:7" ht="15.75" customHeight="1">
      <c r="C867" s="1"/>
      <c r="D867" s="1"/>
      <c r="E867" s="2"/>
      <c r="G867" s="3"/>
    </row>
    <row r="868" spans="3:7" ht="15.75" customHeight="1">
      <c r="C868" s="1"/>
      <c r="D868" s="1"/>
      <c r="E868" s="2"/>
      <c r="G868" s="3"/>
    </row>
    <row r="869" spans="3:7" ht="15.75" customHeight="1">
      <c r="C869" s="1"/>
      <c r="D869" s="1"/>
      <c r="E869" s="2"/>
      <c r="G869" s="3"/>
    </row>
    <row r="870" spans="3:7" ht="15.75" customHeight="1">
      <c r="C870" s="1"/>
      <c r="D870" s="1"/>
      <c r="E870" s="2"/>
      <c r="G870" s="3"/>
    </row>
    <row r="871" spans="3:7" ht="15.75" customHeight="1">
      <c r="C871" s="1"/>
      <c r="D871" s="1"/>
      <c r="E871" s="2"/>
      <c r="G871" s="3"/>
    </row>
    <row r="872" spans="3:7" ht="15.75" customHeight="1">
      <c r="C872" s="1"/>
      <c r="D872" s="1"/>
      <c r="E872" s="2"/>
      <c r="G872" s="3"/>
    </row>
    <row r="873" spans="3:7" ht="15.75" customHeight="1">
      <c r="C873" s="1"/>
      <c r="D873" s="1"/>
      <c r="E873" s="2"/>
      <c r="G873" s="3"/>
    </row>
    <row r="874" spans="3:7" ht="15.75" customHeight="1">
      <c r="C874" s="1"/>
      <c r="D874" s="1"/>
      <c r="E874" s="2"/>
      <c r="G874" s="3"/>
    </row>
    <row r="875" spans="3:7" ht="15.75" customHeight="1">
      <c r="C875" s="1"/>
      <c r="D875" s="1"/>
      <c r="E875" s="2"/>
      <c r="G875" s="3"/>
    </row>
    <row r="876" spans="3:7" ht="15.75" customHeight="1">
      <c r="C876" s="1"/>
      <c r="D876" s="1"/>
      <c r="E876" s="2"/>
      <c r="G876" s="3"/>
    </row>
    <row r="877" spans="3:7" ht="15.75" customHeight="1">
      <c r="C877" s="1"/>
      <c r="D877" s="1"/>
      <c r="E877" s="2"/>
      <c r="G877" s="3"/>
    </row>
    <row r="878" spans="3:7" ht="15.75" customHeight="1">
      <c r="C878" s="1"/>
      <c r="D878" s="1"/>
      <c r="E878" s="2"/>
      <c r="G878" s="3"/>
    </row>
    <row r="879" spans="3:7" ht="15.75" customHeight="1">
      <c r="C879" s="1"/>
      <c r="D879" s="1"/>
      <c r="E879" s="2"/>
      <c r="G879" s="3"/>
    </row>
    <row r="880" spans="3:7" ht="15.75" customHeight="1">
      <c r="C880" s="1"/>
      <c r="D880" s="1"/>
      <c r="E880" s="2"/>
      <c r="G880" s="3"/>
    </row>
    <row r="881" spans="3:7" ht="15.75" customHeight="1">
      <c r="C881" s="1"/>
      <c r="D881" s="1"/>
      <c r="E881" s="2"/>
      <c r="G881" s="3"/>
    </row>
    <row r="882" spans="3:7" ht="15.75" customHeight="1">
      <c r="C882" s="1"/>
      <c r="D882" s="1"/>
      <c r="E882" s="2"/>
      <c r="G882" s="3"/>
    </row>
    <row r="883" spans="3:7" ht="15.75" customHeight="1">
      <c r="C883" s="1"/>
      <c r="D883" s="1"/>
      <c r="E883" s="2"/>
      <c r="G883" s="3"/>
    </row>
    <row r="884" spans="3:7" ht="15.75" customHeight="1">
      <c r="C884" s="1"/>
      <c r="D884" s="1"/>
      <c r="E884" s="2"/>
      <c r="G884" s="3"/>
    </row>
    <row r="885" spans="3:7" ht="15.75" customHeight="1">
      <c r="C885" s="1"/>
      <c r="D885" s="1"/>
      <c r="E885" s="2"/>
      <c r="G885" s="3"/>
    </row>
    <row r="886" spans="3:7" ht="15.75" customHeight="1">
      <c r="C886" s="1"/>
      <c r="D886" s="1"/>
      <c r="E886" s="2"/>
      <c r="G886" s="3"/>
    </row>
    <row r="887" spans="3:7" ht="15.75" customHeight="1">
      <c r="C887" s="1"/>
      <c r="D887" s="1"/>
      <c r="E887" s="2"/>
      <c r="G887" s="3"/>
    </row>
    <row r="888" spans="3:7" ht="15.75" customHeight="1">
      <c r="C888" s="1"/>
      <c r="D888" s="1"/>
      <c r="E888" s="2"/>
      <c r="G888" s="3"/>
    </row>
    <row r="889" spans="3:7" ht="15.75" customHeight="1">
      <c r="C889" s="1"/>
      <c r="D889" s="1"/>
      <c r="E889" s="2"/>
      <c r="G889" s="3"/>
    </row>
    <row r="890" spans="3:7" ht="15.75" customHeight="1">
      <c r="C890" s="1"/>
      <c r="D890" s="1"/>
      <c r="E890" s="2"/>
      <c r="G890" s="3"/>
    </row>
    <row r="891" spans="3:7" ht="15.75" customHeight="1">
      <c r="C891" s="1"/>
      <c r="D891" s="1"/>
      <c r="E891" s="2"/>
      <c r="G891" s="3"/>
    </row>
    <row r="892" spans="3:7" ht="15.75" customHeight="1">
      <c r="C892" s="1"/>
      <c r="D892" s="1"/>
      <c r="E892" s="2"/>
      <c r="G892" s="3"/>
    </row>
    <row r="893" spans="3:7" ht="15.75" customHeight="1">
      <c r="C893" s="1"/>
      <c r="D893" s="1"/>
      <c r="E893" s="2"/>
      <c r="G893" s="3"/>
    </row>
    <row r="894" spans="3:7" ht="15.75" customHeight="1">
      <c r="C894" s="1"/>
      <c r="D894" s="1"/>
      <c r="E894" s="2"/>
      <c r="G894" s="3"/>
    </row>
    <row r="895" spans="3:7" ht="15.75" customHeight="1">
      <c r="C895" s="1"/>
      <c r="D895" s="1"/>
      <c r="E895" s="2"/>
      <c r="G895" s="3"/>
    </row>
    <row r="896" spans="3:7" ht="15.75" customHeight="1">
      <c r="C896" s="1"/>
      <c r="D896" s="1"/>
      <c r="E896" s="2"/>
      <c r="G896" s="3"/>
    </row>
    <row r="897" spans="3:7" ht="15.75" customHeight="1">
      <c r="C897" s="1"/>
      <c r="D897" s="1"/>
      <c r="E897" s="2"/>
      <c r="G897" s="3"/>
    </row>
    <row r="898" spans="3:7" ht="15.75" customHeight="1">
      <c r="C898" s="1"/>
      <c r="D898" s="1"/>
      <c r="E898" s="2"/>
      <c r="G898" s="3"/>
    </row>
    <row r="899" spans="3:7" ht="15.75" customHeight="1">
      <c r="C899" s="1"/>
      <c r="D899" s="1"/>
      <c r="E899" s="2"/>
      <c r="G899" s="3"/>
    </row>
    <row r="900" spans="3:7" ht="15.75" customHeight="1">
      <c r="C900" s="1"/>
      <c r="D900" s="1"/>
      <c r="E900" s="2"/>
      <c r="G900" s="3"/>
    </row>
    <row r="901" spans="3:7" ht="15.75" customHeight="1">
      <c r="C901" s="1"/>
      <c r="D901" s="1"/>
      <c r="E901" s="2"/>
      <c r="G901" s="3"/>
    </row>
    <row r="902" spans="3:7" ht="15.75" customHeight="1">
      <c r="C902" s="1"/>
      <c r="D902" s="1"/>
      <c r="E902" s="2"/>
      <c r="G902" s="3"/>
    </row>
    <row r="903" spans="3:7" ht="15.75" customHeight="1">
      <c r="C903" s="1"/>
      <c r="D903" s="1"/>
      <c r="E903" s="2"/>
      <c r="G903" s="3"/>
    </row>
    <row r="904" spans="3:7" ht="15.75" customHeight="1">
      <c r="C904" s="1"/>
      <c r="D904" s="1"/>
      <c r="E904" s="2"/>
      <c r="G904" s="3"/>
    </row>
    <row r="905" spans="3:7" ht="15.75" customHeight="1">
      <c r="C905" s="1"/>
      <c r="D905" s="1"/>
      <c r="E905" s="2"/>
      <c r="G905" s="3"/>
    </row>
    <row r="906" spans="3:7" ht="15.75" customHeight="1">
      <c r="C906" s="1"/>
      <c r="D906" s="1"/>
      <c r="E906" s="2"/>
      <c r="G906" s="3"/>
    </row>
    <row r="907" spans="3:7" ht="15.75" customHeight="1">
      <c r="C907" s="1"/>
      <c r="D907" s="1"/>
      <c r="E907" s="2"/>
      <c r="G907" s="3"/>
    </row>
    <row r="908" spans="3:7" ht="15.75" customHeight="1">
      <c r="C908" s="1"/>
      <c r="D908" s="1"/>
      <c r="E908" s="2"/>
      <c r="G908" s="3"/>
    </row>
    <row r="909" spans="3:7" ht="15.75" customHeight="1">
      <c r="C909" s="1"/>
      <c r="D909" s="1"/>
      <c r="E909" s="2"/>
      <c r="G909" s="3"/>
    </row>
    <row r="910" spans="3:7" ht="15.75" customHeight="1">
      <c r="C910" s="1"/>
      <c r="D910" s="1"/>
      <c r="E910" s="2"/>
      <c r="G910" s="3"/>
    </row>
    <row r="911" spans="3:7" ht="15.75" customHeight="1">
      <c r="C911" s="1"/>
      <c r="D911" s="1"/>
      <c r="E911" s="2"/>
      <c r="G911" s="3"/>
    </row>
    <row r="912" spans="3:7" ht="15.75" customHeight="1">
      <c r="C912" s="1"/>
      <c r="D912" s="1"/>
      <c r="E912" s="2"/>
      <c r="G912" s="3"/>
    </row>
    <row r="913" spans="3:7" ht="15.75" customHeight="1">
      <c r="C913" s="1"/>
      <c r="D913" s="1"/>
      <c r="E913" s="2"/>
      <c r="G913" s="3"/>
    </row>
    <row r="914" spans="3:7" ht="15.75" customHeight="1">
      <c r="C914" s="1"/>
      <c r="D914" s="1"/>
      <c r="E914" s="2"/>
      <c r="G914" s="3"/>
    </row>
    <row r="915" spans="3:7" ht="15.75" customHeight="1">
      <c r="C915" s="1"/>
      <c r="D915" s="1"/>
      <c r="E915" s="2"/>
      <c r="G915" s="3"/>
    </row>
    <row r="916" spans="3:7" ht="15.75" customHeight="1">
      <c r="C916" s="1"/>
      <c r="D916" s="1"/>
      <c r="E916" s="2"/>
      <c r="G916" s="3"/>
    </row>
    <row r="917" spans="3:7" ht="15.75" customHeight="1">
      <c r="C917" s="1"/>
      <c r="D917" s="1"/>
      <c r="E917" s="2"/>
      <c r="G917" s="3"/>
    </row>
    <row r="918" spans="3:7" ht="15.75" customHeight="1">
      <c r="C918" s="1"/>
      <c r="D918" s="1"/>
      <c r="E918" s="2"/>
      <c r="G918" s="3"/>
    </row>
    <row r="919" spans="3:7" ht="15.75" customHeight="1">
      <c r="C919" s="1"/>
      <c r="D919" s="1"/>
      <c r="E919" s="2"/>
      <c r="G919" s="3"/>
    </row>
    <row r="920" spans="3:7" ht="15.75" customHeight="1">
      <c r="C920" s="1"/>
      <c r="D920" s="1"/>
      <c r="E920" s="2"/>
      <c r="G920" s="3"/>
    </row>
    <row r="921" spans="3:7" ht="15.75" customHeight="1">
      <c r="C921" s="1"/>
      <c r="D921" s="1"/>
      <c r="E921" s="2"/>
      <c r="G921" s="3"/>
    </row>
    <row r="922" spans="3:7" ht="15.75" customHeight="1">
      <c r="C922" s="1"/>
      <c r="D922" s="1"/>
      <c r="E922" s="2"/>
      <c r="G922" s="3"/>
    </row>
    <row r="923" spans="3:7" ht="15.75" customHeight="1">
      <c r="C923" s="1"/>
      <c r="D923" s="1"/>
      <c r="E923" s="2"/>
      <c r="G923" s="3"/>
    </row>
    <row r="924" spans="3:7" ht="15.75" customHeight="1">
      <c r="C924" s="1"/>
      <c r="D924" s="1"/>
      <c r="E924" s="2"/>
      <c r="G924" s="3"/>
    </row>
    <row r="925" spans="3:7" ht="15.75" customHeight="1">
      <c r="C925" s="1"/>
      <c r="D925" s="1"/>
      <c r="E925" s="2"/>
      <c r="G925" s="3"/>
    </row>
    <row r="926" spans="3:7" ht="15.75" customHeight="1">
      <c r="C926" s="1"/>
      <c r="D926" s="1"/>
      <c r="E926" s="2"/>
      <c r="G926" s="3"/>
    </row>
    <row r="927" spans="3:7" ht="15.75" customHeight="1">
      <c r="C927" s="1"/>
      <c r="D927" s="1"/>
      <c r="E927" s="2"/>
      <c r="G927" s="3"/>
    </row>
    <row r="928" spans="3:7" ht="15.75" customHeight="1">
      <c r="C928" s="1"/>
      <c r="D928" s="1"/>
      <c r="E928" s="2"/>
      <c r="G928" s="3"/>
    </row>
    <row r="929" spans="3:7" ht="15.75" customHeight="1">
      <c r="C929" s="1"/>
      <c r="D929" s="1"/>
      <c r="E929" s="2"/>
      <c r="G929" s="3"/>
    </row>
    <row r="930" spans="3:7" ht="15.75" customHeight="1">
      <c r="C930" s="1"/>
      <c r="D930" s="1"/>
      <c r="E930" s="2"/>
      <c r="G930" s="3"/>
    </row>
    <row r="931" spans="3:7" ht="15.75" customHeight="1">
      <c r="C931" s="1"/>
      <c r="D931" s="1"/>
      <c r="E931" s="2"/>
      <c r="G931" s="3"/>
    </row>
    <row r="932" spans="3:7" ht="15.75" customHeight="1">
      <c r="C932" s="1"/>
      <c r="D932" s="1"/>
      <c r="E932" s="2"/>
      <c r="G932" s="3"/>
    </row>
    <row r="933" spans="3:7" ht="15.75" customHeight="1">
      <c r="C933" s="1"/>
      <c r="D933" s="1"/>
      <c r="E933" s="2"/>
      <c r="G933" s="3"/>
    </row>
    <row r="934" spans="3:7" ht="15.75" customHeight="1">
      <c r="C934" s="1"/>
      <c r="D934" s="1"/>
      <c r="E934" s="2"/>
      <c r="G934" s="3"/>
    </row>
    <row r="935" spans="3:7" ht="15.75" customHeight="1">
      <c r="C935" s="1"/>
      <c r="D935" s="1"/>
      <c r="E935" s="2"/>
      <c r="G935" s="3"/>
    </row>
    <row r="936" spans="3:7" ht="15.75" customHeight="1">
      <c r="C936" s="1"/>
      <c r="D936" s="1"/>
      <c r="E936" s="2"/>
      <c r="G936" s="3"/>
    </row>
    <row r="937" spans="3:7" ht="15.75" customHeight="1">
      <c r="C937" s="1"/>
      <c r="D937" s="1"/>
      <c r="E937" s="2"/>
      <c r="G937" s="3"/>
    </row>
    <row r="938" spans="3:7" ht="15.75" customHeight="1">
      <c r="C938" s="1"/>
      <c r="D938" s="1"/>
      <c r="E938" s="2"/>
      <c r="G938" s="3"/>
    </row>
    <row r="939" spans="3:7" ht="15.75" customHeight="1">
      <c r="C939" s="1"/>
      <c r="D939" s="1"/>
      <c r="E939" s="2"/>
      <c r="G939" s="3"/>
    </row>
    <row r="940" spans="3:7" ht="15.75" customHeight="1">
      <c r="C940" s="1"/>
      <c r="D940" s="1"/>
      <c r="E940" s="2"/>
      <c r="G940" s="3"/>
    </row>
    <row r="941" spans="3:7" ht="15.75" customHeight="1">
      <c r="C941" s="1"/>
      <c r="D941" s="1"/>
      <c r="E941" s="2"/>
      <c r="G941" s="3"/>
    </row>
    <row r="942" spans="3:7" ht="15.75" customHeight="1">
      <c r="C942" s="1"/>
      <c r="D942" s="1"/>
      <c r="E942" s="2"/>
      <c r="G942" s="3"/>
    </row>
    <row r="943" spans="3:7" ht="15.75" customHeight="1">
      <c r="C943" s="1"/>
      <c r="D943" s="1"/>
      <c r="E943" s="2"/>
      <c r="G943" s="3"/>
    </row>
    <row r="944" spans="3:7" ht="15.75" customHeight="1">
      <c r="C944" s="1"/>
      <c r="D944" s="1"/>
      <c r="E944" s="2"/>
      <c r="G944" s="3"/>
    </row>
    <row r="945" spans="3:7" ht="15.75" customHeight="1">
      <c r="C945" s="1"/>
      <c r="D945" s="1"/>
      <c r="E945" s="2"/>
      <c r="G945" s="3"/>
    </row>
    <row r="946" spans="3:7" ht="15.75" customHeight="1">
      <c r="C946" s="1"/>
      <c r="D946" s="1"/>
      <c r="E946" s="2"/>
      <c r="G946" s="3"/>
    </row>
    <row r="947" spans="3:7" ht="15.75" customHeight="1">
      <c r="C947" s="1"/>
      <c r="D947" s="1"/>
      <c r="E947" s="2"/>
      <c r="G947" s="3"/>
    </row>
    <row r="948" spans="3:7" ht="15.75" customHeight="1">
      <c r="C948" s="1"/>
      <c r="D948" s="1"/>
      <c r="E948" s="2"/>
      <c r="G948" s="3"/>
    </row>
    <row r="949" spans="3:7" ht="15.75" customHeight="1">
      <c r="C949" s="1"/>
      <c r="D949" s="1"/>
      <c r="E949" s="2"/>
      <c r="G949" s="3"/>
    </row>
    <row r="950" spans="3:7" ht="15.75" customHeight="1">
      <c r="C950" s="1"/>
      <c r="D950" s="1"/>
      <c r="E950" s="2"/>
      <c r="G950" s="3"/>
    </row>
    <row r="951" spans="3:7" ht="15.75" customHeight="1">
      <c r="C951" s="1"/>
      <c r="D951" s="1"/>
      <c r="E951" s="2"/>
      <c r="G951" s="3"/>
    </row>
    <row r="952" spans="3:7" ht="15.75" customHeight="1">
      <c r="C952" s="1"/>
      <c r="D952" s="1"/>
      <c r="E952" s="2"/>
      <c r="G952" s="3"/>
    </row>
    <row r="953" spans="3:7" ht="15.75" customHeight="1">
      <c r="C953" s="1"/>
      <c r="D953" s="1"/>
      <c r="E953" s="2"/>
      <c r="G953" s="3"/>
    </row>
    <row r="954" spans="3:7" ht="15.75" customHeight="1">
      <c r="C954" s="1"/>
      <c r="D954" s="1"/>
      <c r="E954" s="2"/>
      <c r="G954" s="3"/>
    </row>
    <row r="955" spans="3:7" ht="15.75" customHeight="1">
      <c r="C955" s="1"/>
      <c r="D955" s="1"/>
      <c r="E955" s="2"/>
      <c r="G955" s="3"/>
    </row>
    <row r="956" spans="3:7" ht="15.75" customHeight="1">
      <c r="C956" s="1"/>
      <c r="D956" s="1"/>
      <c r="E956" s="2"/>
      <c r="G956" s="3"/>
    </row>
    <row r="957" spans="3:7" ht="15.75" customHeight="1">
      <c r="C957" s="1"/>
      <c r="D957" s="1"/>
      <c r="E957" s="2"/>
      <c r="G957" s="3"/>
    </row>
    <row r="958" spans="3:7" ht="15.75" customHeight="1">
      <c r="C958" s="1"/>
      <c r="D958" s="1"/>
      <c r="E958" s="2"/>
      <c r="G958" s="3"/>
    </row>
    <row r="959" spans="3:7" ht="15.75" customHeight="1">
      <c r="C959" s="1"/>
      <c r="D959" s="1"/>
      <c r="E959" s="2"/>
      <c r="G959" s="3"/>
    </row>
    <row r="960" spans="3:7" ht="15.75" customHeight="1">
      <c r="C960" s="1"/>
      <c r="D960" s="1"/>
      <c r="E960" s="2"/>
      <c r="G960" s="3"/>
    </row>
    <row r="961" spans="3:7" ht="15.75" customHeight="1">
      <c r="C961" s="1"/>
      <c r="D961" s="1"/>
      <c r="E961" s="2"/>
      <c r="G961" s="3"/>
    </row>
    <row r="962" spans="3:7" ht="15.75" customHeight="1">
      <c r="C962" s="1"/>
      <c r="D962" s="1"/>
      <c r="E962" s="2"/>
      <c r="G962" s="3"/>
    </row>
    <row r="963" spans="3:7" ht="15.75" customHeight="1">
      <c r="C963" s="1"/>
      <c r="D963" s="1"/>
      <c r="E963" s="2"/>
      <c r="G963" s="3"/>
    </row>
    <row r="964" spans="3:7" ht="15.75" customHeight="1">
      <c r="C964" s="1"/>
      <c r="D964" s="1"/>
      <c r="E964" s="2"/>
      <c r="G964" s="3"/>
    </row>
    <row r="965" spans="3:7" ht="15.75" customHeight="1">
      <c r="C965" s="1"/>
      <c r="D965" s="1"/>
      <c r="E965" s="2"/>
      <c r="G965" s="3"/>
    </row>
    <row r="966" spans="3:7" ht="15.75" customHeight="1">
      <c r="C966" s="1"/>
      <c r="D966" s="1"/>
      <c r="E966" s="2"/>
      <c r="G966" s="3"/>
    </row>
    <row r="967" spans="3:7" ht="15.75" customHeight="1">
      <c r="C967" s="1"/>
      <c r="D967" s="1"/>
      <c r="E967" s="2"/>
      <c r="G967" s="3"/>
    </row>
    <row r="968" spans="3:7" ht="15.75" customHeight="1">
      <c r="C968" s="1"/>
      <c r="D968" s="1"/>
      <c r="E968" s="2"/>
      <c r="G968" s="3"/>
    </row>
    <row r="969" spans="3:7" ht="15.75" customHeight="1">
      <c r="C969" s="1"/>
      <c r="D969" s="1"/>
      <c r="E969" s="2"/>
      <c r="G969" s="3"/>
    </row>
    <row r="970" spans="3:7" ht="15.75" customHeight="1">
      <c r="C970" s="1"/>
      <c r="D970" s="1"/>
      <c r="E970" s="2"/>
      <c r="G970" s="3"/>
    </row>
    <row r="971" spans="3:7" ht="15.75" customHeight="1">
      <c r="C971" s="1"/>
      <c r="D971" s="1"/>
      <c r="E971" s="2"/>
      <c r="G971" s="3"/>
    </row>
    <row r="972" spans="3:7" ht="15.75" customHeight="1">
      <c r="C972" s="1"/>
      <c r="D972" s="1"/>
      <c r="E972" s="2"/>
      <c r="G972" s="3"/>
    </row>
    <row r="973" spans="3:7" ht="15.75" customHeight="1">
      <c r="C973" s="1"/>
      <c r="D973" s="1"/>
      <c r="E973" s="2"/>
      <c r="G973" s="3"/>
    </row>
    <row r="974" spans="3:7" ht="15.75" customHeight="1">
      <c r="C974" s="1"/>
      <c r="D974" s="1"/>
      <c r="E974" s="2"/>
      <c r="G974" s="3"/>
    </row>
    <row r="975" spans="3:7" ht="15.75" customHeight="1">
      <c r="C975" s="1"/>
      <c r="D975" s="1"/>
      <c r="E975" s="2"/>
      <c r="G975" s="3"/>
    </row>
    <row r="976" spans="3:7" ht="15.75" customHeight="1">
      <c r="C976" s="1"/>
      <c r="D976" s="1"/>
      <c r="E976" s="2"/>
      <c r="G976" s="3"/>
    </row>
    <row r="977" spans="3:7" ht="15.75" customHeight="1">
      <c r="C977" s="1"/>
      <c r="D977" s="1"/>
      <c r="E977" s="2"/>
      <c r="G977" s="3"/>
    </row>
    <row r="978" spans="3:7" ht="15.75" customHeight="1">
      <c r="C978" s="1"/>
      <c r="D978" s="1"/>
      <c r="E978" s="2"/>
      <c r="G978" s="3"/>
    </row>
    <row r="979" spans="3:7" ht="15.75" customHeight="1">
      <c r="C979" s="1"/>
      <c r="D979" s="1"/>
      <c r="E979" s="2"/>
      <c r="G979" s="3"/>
    </row>
    <row r="980" spans="3:7" ht="15.75" customHeight="1">
      <c r="C980" s="1"/>
      <c r="D980" s="1"/>
      <c r="E980" s="2"/>
      <c r="G980" s="3"/>
    </row>
    <row r="981" spans="3:7" ht="15.75" customHeight="1">
      <c r="C981" s="1"/>
      <c r="D981" s="1"/>
      <c r="E981" s="2"/>
      <c r="G981" s="3"/>
    </row>
    <row r="982" spans="3:7" ht="15.75" customHeight="1">
      <c r="C982" s="1"/>
      <c r="D982" s="1"/>
      <c r="E982" s="2"/>
      <c r="G982" s="3"/>
    </row>
    <row r="983" spans="3:7" ht="15.75" customHeight="1">
      <c r="C983" s="1"/>
      <c r="D983" s="1"/>
      <c r="E983" s="2"/>
      <c r="G983" s="3"/>
    </row>
    <row r="984" spans="3:7" ht="15.75" customHeight="1">
      <c r="C984" s="1"/>
      <c r="D984" s="1"/>
      <c r="E984" s="2"/>
      <c r="G984" s="3"/>
    </row>
    <row r="985" spans="3:7" ht="15.75" customHeight="1">
      <c r="C985" s="1"/>
      <c r="D985" s="1"/>
      <c r="E985" s="2"/>
      <c r="G985" s="3"/>
    </row>
    <row r="986" spans="3:7" ht="15.75" customHeight="1">
      <c r="C986" s="1"/>
      <c r="D986" s="1"/>
      <c r="E986" s="2"/>
      <c r="G986" s="3"/>
    </row>
    <row r="987" spans="3:7" ht="15.75" customHeight="1">
      <c r="C987" s="1"/>
      <c r="D987" s="1"/>
      <c r="E987" s="2"/>
      <c r="G987" s="3"/>
    </row>
    <row r="988" spans="3:7" ht="15.75" customHeight="1">
      <c r="C988" s="1"/>
      <c r="D988" s="1"/>
      <c r="E988" s="2"/>
      <c r="G988" s="3"/>
    </row>
    <row r="989" spans="3:7" ht="15.75" customHeight="1">
      <c r="C989" s="1"/>
      <c r="D989" s="1"/>
      <c r="E989" s="2"/>
      <c r="G989" s="3"/>
    </row>
    <row r="990" spans="3:7" ht="15.75" customHeight="1">
      <c r="C990" s="1"/>
      <c r="D990" s="1"/>
      <c r="E990" s="2"/>
      <c r="G990" s="3"/>
    </row>
    <row r="991" spans="3:7" ht="15.75" customHeight="1">
      <c r="C991" s="1"/>
      <c r="D991" s="1"/>
      <c r="E991" s="2"/>
      <c r="G991" s="3"/>
    </row>
    <row r="992" spans="3:7" ht="15.75" customHeight="1">
      <c r="C992" s="1"/>
      <c r="D992" s="1"/>
      <c r="E992" s="2"/>
      <c r="G992" s="3"/>
    </row>
    <row r="993" spans="3:7" ht="15.75" customHeight="1">
      <c r="C993" s="1"/>
      <c r="D993" s="1"/>
      <c r="E993" s="2"/>
      <c r="G993" s="3"/>
    </row>
    <row r="994" spans="3:7" ht="15.75" customHeight="1">
      <c r="C994" s="1"/>
      <c r="D994" s="1"/>
      <c r="E994" s="2"/>
      <c r="G994" s="3"/>
    </row>
    <row r="995" spans="3:7" ht="15.75" customHeight="1">
      <c r="C995" s="1"/>
      <c r="D995" s="1"/>
      <c r="E995" s="2"/>
      <c r="G995" s="3"/>
    </row>
    <row r="996" spans="3:7" ht="15.75" customHeight="1">
      <c r="C996" s="1"/>
      <c r="D996" s="1"/>
      <c r="E996" s="2"/>
      <c r="G996" s="3"/>
    </row>
    <row r="997" spans="3:7" ht="15.75" customHeight="1">
      <c r="C997" s="1"/>
      <c r="D997" s="1"/>
      <c r="E997" s="2"/>
      <c r="G997" s="3"/>
    </row>
    <row r="998" spans="3:7" ht="15.75" customHeight="1">
      <c r="C998" s="1"/>
      <c r="D998" s="1"/>
      <c r="E998" s="2"/>
      <c r="G998" s="3"/>
    </row>
    <row r="999" spans="3:7" ht="15.75" customHeight="1">
      <c r="C999" s="1"/>
      <c r="D999" s="1"/>
      <c r="E999" s="2"/>
      <c r="G999" s="3"/>
    </row>
    <row r="1000" spans="3:7" ht="15.75" customHeight="1">
      <c r="C1000" s="1"/>
      <c r="D1000" s="1"/>
      <c r="E1000" s="2"/>
      <c r="G1000" s="3"/>
    </row>
  </sheetData>
  <autoFilter ref="B6:J71" xr:uid="{00000000-0009-0000-0000-000000000000}"/>
  <mergeCells count="9">
    <mergeCell ref="B78:B80"/>
    <mergeCell ref="B81:B82"/>
    <mergeCell ref="F78:F80"/>
    <mergeCell ref="F81:F82"/>
    <mergeCell ref="C12:D12"/>
    <mergeCell ref="C13:D13"/>
    <mergeCell ref="J56:J69"/>
    <mergeCell ref="H74:I75"/>
    <mergeCell ref="H77:I82"/>
  </mergeCells>
  <hyperlinks>
    <hyperlink ref="B4" r:id="rId1" xr:uid="{00000000-0004-0000-0000-000000000000}"/>
  </hyperlinks>
  <pageMargins left="0.25" right="0.25" top="0.75" bottom="0.75" header="0" footer="0"/>
  <pageSetup paperSize="9" orientation="portrait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25.09.2026 _NOW ONGOING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Marketing3</dc:creator>
  <cp:lastModifiedBy>Marketing3</cp:lastModifiedBy>
  <dcterms:created xsi:type="dcterms:W3CDTF">2026-10-07T09:27:42Z</dcterms:created>
  <dcterms:modified xsi:type="dcterms:W3CDTF">2026-10-07T09:38:12Z</dcterms:modified>
</cp:coreProperties>
</file>